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eona\OneDrive\Documentos\VELOSO\chatlogistica\"/>
    </mc:Choice>
  </mc:AlternateContent>
  <xr:revisionPtr revIDLastSave="0" documentId="13_ncr:1_{2D1F8964-96BE-43E4-BF67-8409E852E2B7}" xr6:coauthVersionLast="47" xr6:coauthVersionMax="47" xr10:uidLastSave="{00000000-0000-0000-0000-000000000000}"/>
  <bookViews>
    <workbookView xWindow="4500" yWindow="2445" windowWidth="21600" windowHeight="11385" tabRatio="752" firstSheet="1" activeTab="1" xr2:uid="{00000000-000D-0000-FFFF-FFFF00000000}"/>
  </bookViews>
  <sheets>
    <sheet name="Estrutura" sheetId="13" r:id="rId1"/>
    <sheet name="Geral" sheetId="1" r:id="rId2"/>
    <sheet name="Planilha1" sheetId="15" r:id="rId3"/>
    <sheet name="Biblioteca" sheetId="12" r:id="rId4"/>
    <sheet name="CSMB" sheetId="2" r:id="rId5"/>
    <sheet name="Dados de Rede" sheetId="3" r:id="rId6"/>
    <sheet name="Impressoras" sheetId="14" r:id="rId7"/>
    <sheet name="Canais de Atendimento" sheetId="5" r:id="rId8"/>
    <sheet name="Logistica" sheetId="6" r:id="rId9"/>
    <sheet name="Inventário" sheetId="7" r:id="rId10"/>
    <sheet name="Import CSMB" sheetId="8" r:id="rId11"/>
    <sheet name="Import" sheetId="9" r:id="rId12"/>
    <sheet name="IMPORT - FUNCIO" sheetId="11" r:id="rId13"/>
  </sheets>
  <definedNames>
    <definedName name="_xlnm._FilterDatabase" localSheetId="1" hidden="1">Geral!$A$1:$N$1</definedName>
    <definedName name="_xlnm._FilterDatabase" localSheetId="9" hidden="1">Inventário!$B$1:$B$614</definedName>
    <definedName name="DadosExternos_1" localSheetId="3" hidden="1">Biblioteca!$A$1:$W$1001</definedName>
    <definedName name="DadosExternos_2" localSheetId="0" hidden="1">Estrutura!$A$1:$R$1001</definedName>
    <definedName name="ID_BP">Geral!$C$4:$C$57</definedName>
    <definedName name="IntervaloNomeado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C3" i="9"/>
  <c r="B8" i="9"/>
  <c r="B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E3" i="3"/>
  <c r="X55" i="12"/>
  <c r="W55" i="12"/>
  <c r="X54" i="12"/>
  <c r="W54" i="12"/>
  <c r="E66" i="3"/>
  <c r="H19" i="2"/>
  <c r="G19" i="2"/>
  <c r="B5" i="7"/>
  <c r="A4" i="3"/>
  <c r="A6" i="3"/>
  <c r="A7" i="3"/>
  <c r="A8" i="3"/>
  <c r="A9" i="3"/>
  <c r="A10" i="3"/>
  <c r="A11" i="3"/>
  <c r="A12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5" i="3"/>
  <c r="A56" i="3"/>
  <c r="E31" i="3"/>
  <c r="D305" i="9"/>
  <c r="B305" i="9"/>
  <c r="A305" i="9"/>
  <c r="D304" i="9"/>
  <c r="B304" i="9"/>
  <c r="A304" i="9"/>
  <c r="D303" i="9"/>
  <c r="B303" i="9"/>
  <c r="A303" i="9"/>
  <c r="D302" i="9"/>
  <c r="B302" i="9"/>
  <c r="A302" i="9"/>
  <c r="C301" i="9"/>
  <c r="D301" i="9" s="1"/>
  <c r="B301" i="9"/>
  <c r="A301" i="9"/>
  <c r="H300" i="9"/>
  <c r="C300" i="9"/>
  <c r="B300" i="9"/>
  <c r="A300" i="9"/>
  <c r="D299" i="9"/>
  <c r="D298" i="9"/>
  <c r="B298" i="9"/>
  <c r="A298" i="9"/>
  <c r="D297" i="9"/>
  <c r="B297" i="9"/>
  <c r="A297" i="9"/>
  <c r="D296" i="9"/>
  <c r="B296" i="9"/>
  <c r="A296" i="9"/>
  <c r="D295" i="9"/>
  <c r="B295" i="9"/>
  <c r="A295" i="9"/>
  <c r="D294" i="9"/>
  <c r="B294" i="9"/>
  <c r="A294" i="9"/>
  <c r="H293" i="9"/>
  <c r="C293" i="9"/>
  <c r="B293" i="9"/>
  <c r="A293" i="9"/>
  <c r="D292" i="9"/>
  <c r="D291" i="9"/>
  <c r="B291" i="9"/>
  <c r="A291" i="9"/>
  <c r="C290" i="9"/>
  <c r="D290" i="9" s="1"/>
  <c r="B290" i="9"/>
  <c r="A290" i="9"/>
  <c r="C289" i="9"/>
  <c r="D289" i="9" s="1"/>
  <c r="B289" i="9"/>
  <c r="A289" i="9"/>
  <c r="C288" i="9"/>
  <c r="D288" i="9" s="1"/>
  <c r="B288" i="9"/>
  <c r="A288" i="9"/>
  <c r="C287" i="9"/>
  <c r="D287" i="9" s="1"/>
  <c r="B287" i="9"/>
  <c r="A287" i="9"/>
  <c r="H286" i="9"/>
  <c r="C286" i="9"/>
  <c r="B286" i="9"/>
  <c r="A286" i="9"/>
  <c r="D285" i="9"/>
  <c r="C284" i="9"/>
  <c r="B284" i="9"/>
  <c r="A284" i="9"/>
  <c r="D283" i="9"/>
  <c r="B283" i="9"/>
  <c r="A283" i="9"/>
  <c r="D282" i="9"/>
  <c r="B282" i="9"/>
  <c r="A282" i="9"/>
  <c r="C281" i="9"/>
  <c r="D281" i="9" s="1"/>
  <c r="B281" i="9"/>
  <c r="A281" i="9"/>
  <c r="H280" i="9"/>
  <c r="D280" i="9"/>
  <c r="B280" i="9"/>
  <c r="A280" i="9"/>
  <c r="D279" i="9"/>
  <c r="D278" i="9"/>
  <c r="B278" i="9"/>
  <c r="A278" i="9"/>
  <c r="D277" i="9"/>
  <c r="B277" i="9"/>
  <c r="A277" i="9"/>
  <c r="C276" i="9"/>
  <c r="B276" i="9"/>
  <c r="A276" i="9"/>
  <c r="H275" i="9"/>
  <c r="D275" i="9"/>
  <c r="B275" i="9"/>
  <c r="A275" i="9"/>
  <c r="D274" i="9"/>
  <c r="D273" i="9"/>
  <c r="B273" i="9"/>
  <c r="A273" i="9"/>
  <c r="D272" i="9"/>
  <c r="B272" i="9"/>
  <c r="A272" i="9"/>
  <c r="C271" i="9"/>
  <c r="D271" i="9" s="1"/>
  <c r="B271" i="9"/>
  <c r="A271" i="9"/>
  <c r="H270" i="9"/>
  <c r="C270" i="9"/>
  <c r="B270" i="9"/>
  <c r="A270" i="9"/>
  <c r="D269" i="9"/>
  <c r="D268" i="9"/>
  <c r="B268" i="9"/>
  <c r="A268" i="9"/>
  <c r="D267" i="9"/>
  <c r="B267" i="9"/>
  <c r="A267" i="9"/>
  <c r="C266" i="9"/>
  <c r="B266" i="9"/>
  <c r="A266" i="9"/>
  <c r="H265" i="9"/>
  <c r="D265" i="9"/>
  <c r="B265" i="9"/>
  <c r="A265" i="9"/>
  <c r="D264" i="9"/>
  <c r="D263" i="9"/>
  <c r="B263" i="9"/>
  <c r="A263" i="9"/>
  <c r="D262" i="9"/>
  <c r="B262" i="9"/>
  <c r="A262" i="9"/>
  <c r="D261" i="9"/>
  <c r="B261" i="9"/>
  <c r="A261" i="9"/>
  <c r="H260" i="9"/>
  <c r="C260" i="9"/>
  <c r="B260" i="9"/>
  <c r="A260" i="9"/>
  <c r="D259" i="9"/>
  <c r="C258" i="9"/>
  <c r="B258" i="9"/>
  <c r="A258" i="9"/>
  <c r="D257" i="9"/>
  <c r="B257" i="9"/>
  <c r="A257" i="9"/>
  <c r="C256" i="9"/>
  <c r="D256" i="9" s="1"/>
  <c r="B256" i="9"/>
  <c r="A256" i="9"/>
  <c r="C255" i="9"/>
  <c r="D255" i="9" s="1"/>
  <c r="B255" i="9"/>
  <c r="A255" i="9"/>
  <c r="H254" i="9"/>
  <c r="D254" i="9"/>
  <c r="B254" i="9"/>
  <c r="A254" i="9"/>
  <c r="D253" i="9"/>
  <c r="C252" i="9"/>
  <c r="B252" i="9"/>
  <c r="A252" i="9"/>
  <c r="C251" i="9"/>
  <c r="D251" i="9" s="1"/>
  <c r="B251" i="9"/>
  <c r="A251" i="9"/>
  <c r="D250" i="9"/>
  <c r="B250" i="9"/>
  <c r="A250" i="9"/>
  <c r="D249" i="9"/>
  <c r="B249" i="9"/>
  <c r="A249" i="9"/>
  <c r="H248" i="9"/>
  <c r="D248" i="9"/>
  <c r="B248" i="9"/>
  <c r="A248" i="9"/>
  <c r="D247" i="9"/>
  <c r="C246" i="9"/>
  <c r="B246" i="9"/>
  <c r="A246" i="9"/>
  <c r="C245" i="9"/>
  <c r="D245" i="9" s="1"/>
  <c r="B245" i="9"/>
  <c r="A245" i="9"/>
  <c r="H244" i="9"/>
  <c r="D244" i="9"/>
  <c r="B244" i="9"/>
  <c r="A244" i="9"/>
  <c r="D243" i="9"/>
  <c r="D242" i="9"/>
  <c r="B242" i="9"/>
  <c r="A242" i="9"/>
  <c r="D241" i="9"/>
  <c r="B241" i="9"/>
  <c r="A241" i="9"/>
  <c r="D240" i="9"/>
  <c r="B240" i="9"/>
  <c r="A240" i="9"/>
  <c r="C239" i="9"/>
  <c r="D239" i="9" s="1"/>
  <c r="B239" i="9"/>
  <c r="A239" i="9"/>
  <c r="D238" i="9"/>
  <c r="B238" i="9"/>
  <c r="A238" i="9"/>
  <c r="D237" i="9"/>
  <c r="B237" i="9"/>
  <c r="A237" i="9"/>
  <c r="H236" i="9"/>
  <c r="C236" i="9"/>
  <c r="B236" i="9"/>
  <c r="A236" i="9"/>
  <c r="D235" i="9"/>
  <c r="D234" i="9"/>
  <c r="B234" i="9"/>
  <c r="A234" i="9"/>
  <c r="D233" i="9"/>
  <c r="B233" i="9"/>
  <c r="A233" i="9"/>
  <c r="H232" i="9"/>
  <c r="C232" i="9"/>
  <c r="B232" i="9"/>
  <c r="A232" i="9"/>
  <c r="D231" i="9"/>
  <c r="D230" i="9"/>
  <c r="B230" i="9"/>
  <c r="A230" i="9"/>
  <c r="D229" i="9"/>
  <c r="B229" i="9"/>
  <c r="A229" i="9"/>
  <c r="D228" i="9"/>
  <c r="B228" i="9"/>
  <c r="A228" i="9"/>
  <c r="C227" i="9"/>
  <c r="B227" i="9"/>
  <c r="A227" i="9"/>
  <c r="D226" i="9"/>
  <c r="B226" i="9"/>
  <c r="A226" i="9"/>
  <c r="H225" i="9"/>
  <c r="D225" i="9"/>
  <c r="B225" i="9"/>
  <c r="A225" i="9"/>
  <c r="D224" i="9"/>
  <c r="C223" i="9"/>
  <c r="B223" i="9"/>
  <c r="A223" i="9"/>
  <c r="C222" i="9"/>
  <c r="D222" i="9" s="1"/>
  <c r="B222" i="9"/>
  <c r="A222" i="9"/>
  <c r="H221" i="9"/>
  <c r="C221" i="9"/>
  <c r="D221" i="9" s="1"/>
  <c r="B221" i="9"/>
  <c r="A221" i="9"/>
  <c r="D220" i="9"/>
  <c r="C219" i="9"/>
  <c r="D219" i="9" s="1"/>
  <c r="B219" i="9"/>
  <c r="A219" i="9"/>
  <c r="H218" i="9"/>
  <c r="C218" i="9"/>
  <c r="D218" i="9" s="1"/>
  <c r="B218" i="9"/>
  <c r="A218" i="9"/>
  <c r="D217" i="9"/>
  <c r="D216" i="9"/>
  <c r="B216" i="9"/>
  <c r="A216" i="9"/>
  <c r="C215" i="9"/>
  <c r="D215" i="9" s="1"/>
  <c r="B215" i="9"/>
  <c r="A215" i="9"/>
  <c r="D214" i="9"/>
  <c r="B214" i="9"/>
  <c r="A214" i="9"/>
  <c r="D213" i="9"/>
  <c r="B213" i="9"/>
  <c r="A213" i="9"/>
  <c r="C212" i="9"/>
  <c r="D212" i="9" s="1"/>
  <c r="B212" i="9"/>
  <c r="A212" i="9"/>
  <c r="D211" i="9"/>
  <c r="B211" i="9"/>
  <c r="A211" i="9"/>
  <c r="H210" i="9"/>
  <c r="C210" i="9"/>
  <c r="B210" i="9"/>
  <c r="A210" i="9"/>
  <c r="D209" i="9"/>
  <c r="H208" i="9"/>
  <c r="C208" i="9"/>
  <c r="D208" i="9" s="1"/>
  <c r="B208" i="9"/>
  <c r="A208" i="9"/>
  <c r="D207" i="9"/>
  <c r="D206" i="9"/>
  <c r="B206" i="9"/>
  <c r="A206" i="9"/>
  <c r="D205" i="9"/>
  <c r="B205" i="9"/>
  <c r="A205" i="9"/>
  <c r="C204" i="9"/>
  <c r="D204" i="9" s="1"/>
  <c r="B204" i="9"/>
  <c r="A204" i="9"/>
  <c r="D203" i="9"/>
  <c r="B203" i="9"/>
  <c r="A203" i="9"/>
  <c r="C202" i="9"/>
  <c r="D202" i="9" s="1"/>
  <c r="B202" i="9"/>
  <c r="A202" i="9"/>
  <c r="H201" i="9"/>
  <c r="C201" i="9"/>
  <c r="B201" i="9"/>
  <c r="A201" i="9"/>
  <c r="D200" i="9"/>
  <c r="D199" i="9"/>
  <c r="B199" i="9"/>
  <c r="A199" i="9"/>
  <c r="D198" i="9"/>
  <c r="B198" i="9"/>
  <c r="A198" i="9"/>
  <c r="D197" i="9"/>
  <c r="B197" i="9"/>
  <c r="A197" i="9"/>
  <c r="C196" i="9"/>
  <c r="D196" i="9" s="1"/>
  <c r="B196" i="9"/>
  <c r="A196" i="9"/>
  <c r="H195" i="9"/>
  <c r="C195" i="9"/>
  <c r="B195" i="9"/>
  <c r="A195" i="9"/>
  <c r="D194" i="9"/>
  <c r="D193" i="9"/>
  <c r="B193" i="9"/>
  <c r="A193" i="9"/>
  <c r="C192" i="9"/>
  <c r="D192" i="9" s="1"/>
  <c r="B192" i="9"/>
  <c r="A192" i="9"/>
  <c r="C191" i="9"/>
  <c r="B191" i="9"/>
  <c r="A191" i="9"/>
  <c r="C190" i="9"/>
  <c r="D190" i="9" s="1"/>
  <c r="B190" i="9"/>
  <c r="A190" i="9"/>
  <c r="H189" i="9"/>
  <c r="D189" i="9"/>
  <c r="B189" i="9"/>
  <c r="A189" i="9"/>
  <c r="D188" i="9"/>
  <c r="D187" i="9"/>
  <c r="B187" i="9"/>
  <c r="A187" i="9"/>
  <c r="D186" i="9"/>
  <c r="B186" i="9"/>
  <c r="A186" i="9"/>
  <c r="D185" i="9"/>
  <c r="B185" i="9"/>
  <c r="A185" i="9"/>
  <c r="C184" i="9"/>
  <c r="D184" i="9" s="1"/>
  <c r="B184" i="9"/>
  <c r="A184" i="9"/>
  <c r="D183" i="9"/>
  <c r="B183" i="9"/>
  <c r="A183" i="9"/>
  <c r="D182" i="9"/>
  <c r="B182" i="9"/>
  <c r="A182" i="9"/>
  <c r="C181" i="9"/>
  <c r="D181" i="9" s="1"/>
  <c r="B181" i="9"/>
  <c r="A181" i="9"/>
  <c r="C180" i="9"/>
  <c r="D180" i="9" s="1"/>
  <c r="B180" i="9"/>
  <c r="A180" i="9"/>
  <c r="C179" i="9"/>
  <c r="D179" i="9" s="1"/>
  <c r="B179" i="9"/>
  <c r="A179" i="9"/>
  <c r="C178" i="9"/>
  <c r="D178" i="9" s="1"/>
  <c r="B178" i="9"/>
  <c r="A178" i="9"/>
  <c r="C177" i="9"/>
  <c r="B177" i="9"/>
  <c r="A177" i="9"/>
  <c r="D176" i="9"/>
  <c r="B176" i="9"/>
  <c r="A176" i="9"/>
  <c r="H175" i="9"/>
  <c r="D175" i="9"/>
  <c r="B175" i="9"/>
  <c r="A175" i="9"/>
  <c r="D174" i="9"/>
  <c r="C173" i="9"/>
  <c r="B173" i="9"/>
  <c r="A173" i="9"/>
  <c r="C172" i="9"/>
  <c r="D172" i="9" s="1"/>
  <c r="B172" i="9"/>
  <c r="A172" i="9"/>
  <c r="H171" i="9"/>
  <c r="C171" i="9"/>
  <c r="D171" i="9" s="1"/>
  <c r="B171" i="9"/>
  <c r="A171" i="9"/>
  <c r="D170" i="9"/>
  <c r="C169" i="9"/>
  <c r="D169" i="9" s="1"/>
  <c r="B169" i="9"/>
  <c r="A169" i="9"/>
  <c r="D168" i="9"/>
  <c r="B168" i="9"/>
  <c r="A168" i="9"/>
  <c r="C167" i="9"/>
  <c r="D167" i="9" s="1"/>
  <c r="B167" i="9"/>
  <c r="A167" i="9"/>
  <c r="C166" i="9"/>
  <c r="D166" i="9" s="1"/>
  <c r="B166" i="9"/>
  <c r="A166" i="9"/>
  <c r="C165" i="9"/>
  <c r="D165" i="9" s="1"/>
  <c r="B165" i="9"/>
  <c r="A165" i="9"/>
  <c r="H164" i="9"/>
  <c r="C164" i="9"/>
  <c r="B164" i="9"/>
  <c r="A164" i="9"/>
  <c r="D163" i="9"/>
  <c r="C162" i="9"/>
  <c r="B162" i="9"/>
  <c r="A162" i="9"/>
  <c r="D161" i="9"/>
  <c r="B161" i="9"/>
  <c r="A161" i="9"/>
  <c r="C160" i="9"/>
  <c r="D160" i="9" s="1"/>
  <c r="B160" i="9"/>
  <c r="A160" i="9"/>
  <c r="H159" i="9"/>
  <c r="C159" i="9"/>
  <c r="D159" i="9" s="1"/>
  <c r="B159" i="9"/>
  <c r="A159" i="9"/>
  <c r="D158" i="9"/>
  <c r="D157" i="9"/>
  <c r="B157" i="9"/>
  <c r="A157" i="9"/>
  <c r="D156" i="9"/>
  <c r="B156" i="9"/>
  <c r="A156" i="9"/>
  <c r="D155" i="9"/>
  <c r="B155" i="9"/>
  <c r="A155" i="9"/>
  <c r="H154" i="9"/>
  <c r="C154" i="9"/>
  <c r="B154" i="9"/>
  <c r="A154" i="9"/>
  <c r="D153" i="9"/>
  <c r="C152" i="9"/>
  <c r="B152" i="9"/>
  <c r="A152" i="9"/>
  <c r="C151" i="9"/>
  <c r="D151" i="9" s="1"/>
  <c r="B151" i="9"/>
  <c r="A151" i="9"/>
  <c r="D150" i="9"/>
  <c r="B150" i="9"/>
  <c r="A150" i="9"/>
  <c r="C149" i="9"/>
  <c r="D149" i="9" s="1"/>
  <c r="B149" i="9"/>
  <c r="A149" i="9"/>
  <c r="H148" i="9"/>
  <c r="D148" i="9"/>
  <c r="B148" i="9"/>
  <c r="A148" i="9"/>
  <c r="D147" i="9"/>
  <c r="D146" i="9"/>
  <c r="B146" i="9"/>
  <c r="A146" i="9"/>
  <c r="D145" i="9"/>
  <c r="B145" i="9"/>
  <c r="A145" i="9"/>
  <c r="D144" i="9"/>
  <c r="B144" i="9"/>
  <c r="A144" i="9"/>
  <c r="D143" i="9"/>
  <c r="B143" i="9"/>
  <c r="A143" i="9"/>
  <c r="C142" i="9"/>
  <c r="B142" i="9"/>
  <c r="A142" i="9"/>
  <c r="H141" i="9"/>
  <c r="C141" i="9"/>
  <c r="D141" i="9" s="1"/>
  <c r="B141" i="9"/>
  <c r="A141" i="9"/>
  <c r="D140" i="9"/>
  <c r="D139" i="9"/>
  <c r="B139" i="9"/>
  <c r="A139" i="9"/>
  <c r="C138" i="9"/>
  <c r="D138" i="9" s="1"/>
  <c r="B138" i="9"/>
  <c r="A138" i="9"/>
  <c r="D137" i="9"/>
  <c r="B137" i="9"/>
  <c r="A137" i="9"/>
  <c r="D136" i="9"/>
  <c r="B136" i="9"/>
  <c r="A136" i="9"/>
  <c r="C135" i="9"/>
  <c r="B135" i="9"/>
  <c r="A135" i="9"/>
  <c r="H134" i="9"/>
  <c r="D134" i="9"/>
  <c r="B134" i="9"/>
  <c r="A134" i="9"/>
  <c r="D133" i="9"/>
  <c r="C132" i="9"/>
  <c r="D132" i="9" s="1"/>
  <c r="B132" i="9"/>
  <c r="A132" i="9"/>
  <c r="D131" i="9"/>
  <c r="B131" i="9"/>
  <c r="A131" i="9"/>
  <c r="C130" i="9"/>
  <c r="B130" i="9"/>
  <c r="A130" i="9"/>
  <c r="D129" i="9"/>
  <c r="B129" i="9"/>
  <c r="A129" i="9"/>
  <c r="H128" i="9"/>
  <c r="D128" i="9"/>
  <c r="B128" i="9"/>
  <c r="A128" i="9"/>
  <c r="D127" i="9"/>
  <c r="D126" i="9"/>
  <c r="B126" i="9"/>
  <c r="A126" i="9"/>
  <c r="D125" i="9"/>
  <c r="B125" i="9"/>
  <c r="A125" i="9"/>
  <c r="C124" i="9"/>
  <c r="D124" i="9" s="1"/>
  <c r="B124" i="9"/>
  <c r="A124" i="9"/>
  <c r="C123" i="9"/>
  <c r="D123" i="9" s="1"/>
  <c r="B123" i="9"/>
  <c r="A123" i="9"/>
  <c r="H122" i="9"/>
  <c r="C122" i="9"/>
  <c r="B122" i="9"/>
  <c r="A122" i="9"/>
  <c r="D121" i="9"/>
  <c r="C120" i="9"/>
  <c r="D120" i="9" s="1"/>
  <c r="B120" i="9"/>
  <c r="A120" i="9"/>
  <c r="H119" i="9"/>
  <c r="C119" i="9"/>
  <c r="B119" i="9"/>
  <c r="A119" i="9"/>
  <c r="D118" i="9"/>
  <c r="C117" i="9"/>
  <c r="D117" i="9" s="1"/>
  <c r="B117" i="9"/>
  <c r="A117" i="9"/>
  <c r="D116" i="9"/>
  <c r="B116" i="9"/>
  <c r="A116" i="9"/>
  <c r="C115" i="9"/>
  <c r="B115" i="9"/>
  <c r="A115" i="9"/>
  <c r="H114" i="9"/>
  <c r="C114" i="9"/>
  <c r="D114" i="9" s="1"/>
  <c r="B114" i="9"/>
  <c r="A114" i="9"/>
  <c r="D113" i="9"/>
  <c r="D112" i="9"/>
  <c r="B112" i="9"/>
  <c r="A112" i="9"/>
  <c r="D111" i="9"/>
  <c r="B111" i="9"/>
  <c r="A111" i="9"/>
  <c r="C110" i="9"/>
  <c r="B110" i="9"/>
  <c r="A110" i="9"/>
  <c r="H109" i="9"/>
  <c r="C109" i="9"/>
  <c r="D109" i="9" s="1"/>
  <c r="B109" i="9"/>
  <c r="A109" i="9"/>
  <c r="D108" i="9"/>
  <c r="C107" i="9"/>
  <c r="B107" i="9"/>
  <c r="A107" i="9"/>
  <c r="D106" i="9"/>
  <c r="B106" i="9"/>
  <c r="A106" i="9"/>
  <c r="D105" i="9"/>
  <c r="B105" i="9"/>
  <c r="A105" i="9"/>
  <c r="D104" i="9"/>
  <c r="B104" i="9"/>
  <c r="A104" i="9"/>
  <c r="D103" i="9"/>
  <c r="B103" i="9"/>
  <c r="A103" i="9"/>
  <c r="H102" i="9"/>
  <c r="D102" i="9"/>
  <c r="B102" i="9"/>
  <c r="A102" i="9"/>
  <c r="D101" i="9"/>
  <c r="C100" i="9"/>
  <c r="B100" i="9"/>
  <c r="A100" i="9"/>
  <c r="D99" i="9"/>
  <c r="B99" i="9"/>
  <c r="A99" i="9"/>
  <c r="H98" i="9"/>
  <c r="C98" i="9"/>
  <c r="D98" i="9" s="1"/>
  <c r="B98" i="9"/>
  <c r="A98" i="9"/>
  <c r="D97" i="9"/>
  <c r="C96" i="9"/>
  <c r="B96" i="9"/>
  <c r="A96" i="9"/>
  <c r="H95" i="9"/>
  <c r="C95" i="9"/>
  <c r="D95" i="9" s="1"/>
  <c r="B95" i="9"/>
  <c r="A95" i="9"/>
  <c r="D94" i="9"/>
  <c r="D93" i="9"/>
  <c r="B93" i="9"/>
  <c r="A93" i="9"/>
  <c r="C92" i="9"/>
  <c r="B92" i="9"/>
  <c r="A92" i="9"/>
  <c r="C91" i="9"/>
  <c r="D91" i="9" s="1"/>
  <c r="B91" i="9"/>
  <c r="A91" i="9"/>
  <c r="H90" i="9"/>
  <c r="C90" i="9"/>
  <c r="D90" i="9" s="1"/>
  <c r="B90" i="9"/>
  <c r="A90" i="9"/>
  <c r="D89" i="9"/>
  <c r="C88" i="9"/>
  <c r="B88" i="9"/>
  <c r="A88" i="9"/>
  <c r="D87" i="9"/>
  <c r="B87" i="9"/>
  <c r="A87" i="9"/>
  <c r="D86" i="9"/>
  <c r="B86" i="9"/>
  <c r="A86" i="9"/>
  <c r="H85" i="9"/>
  <c r="D85" i="9"/>
  <c r="B85" i="9"/>
  <c r="A85" i="9"/>
  <c r="D84" i="9"/>
  <c r="D83" i="9"/>
  <c r="B83" i="9"/>
  <c r="A83" i="9"/>
  <c r="C82" i="9"/>
  <c r="B82" i="9"/>
  <c r="A82" i="9"/>
  <c r="H81" i="9"/>
  <c r="C81" i="9"/>
  <c r="D81" i="9" s="1"/>
  <c r="B81" i="9"/>
  <c r="A81" i="9"/>
  <c r="D80" i="9"/>
  <c r="D79" i="9"/>
  <c r="B79" i="9"/>
  <c r="A79" i="9"/>
  <c r="D78" i="9"/>
  <c r="B78" i="9"/>
  <c r="A78" i="9"/>
  <c r="C77" i="9"/>
  <c r="B77" i="9"/>
  <c r="A77" i="9"/>
  <c r="D76" i="9"/>
  <c r="B76" i="9"/>
  <c r="A76" i="9"/>
  <c r="H75" i="9"/>
  <c r="D75" i="9"/>
  <c r="B75" i="9"/>
  <c r="A75" i="9"/>
  <c r="D74" i="9"/>
  <c r="C73" i="9"/>
  <c r="B73" i="9"/>
  <c r="A73" i="9"/>
  <c r="C72" i="9"/>
  <c r="D72" i="9" s="1"/>
  <c r="B72" i="9"/>
  <c r="A72" i="9"/>
  <c r="C71" i="9"/>
  <c r="D71" i="9" s="1"/>
  <c r="B71" i="9"/>
  <c r="A71" i="9"/>
  <c r="H70" i="9"/>
  <c r="C70" i="9"/>
  <c r="D70" i="9" s="1"/>
  <c r="B70" i="9"/>
  <c r="A70" i="9"/>
  <c r="D69" i="9"/>
  <c r="C68" i="9"/>
  <c r="D68" i="9" s="1"/>
  <c r="B68" i="9"/>
  <c r="A68" i="9"/>
  <c r="C67" i="9"/>
  <c r="D67" i="9" s="1"/>
  <c r="B67" i="9"/>
  <c r="A67" i="9"/>
  <c r="C66" i="9"/>
  <c r="D66" i="9" s="1"/>
  <c r="B66" i="9"/>
  <c r="A66" i="9"/>
  <c r="C65" i="9"/>
  <c r="D65" i="9" s="1"/>
  <c r="B65" i="9"/>
  <c r="A65" i="9"/>
  <c r="H64" i="9"/>
  <c r="C64" i="9"/>
  <c r="B64" i="9"/>
  <c r="A64" i="9"/>
  <c r="D63" i="9"/>
  <c r="C62" i="9"/>
  <c r="D62" i="9" s="1"/>
  <c r="B62" i="9"/>
  <c r="A62" i="9"/>
  <c r="C61" i="9"/>
  <c r="D61" i="9" s="1"/>
  <c r="B61" i="9"/>
  <c r="A61" i="9"/>
  <c r="C60" i="9"/>
  <c r="D60" i="9" s="1"/>
  <c r="B60" i="9"/>
  <c r="A60" i="9"/>
  <c r="C59" i="9"/>
  <c r="D59" i="9" s="1"/>
  <c r="B59" i="9"/>
  <c r="A59" i="9"/>
  <c r="H58" i="9"/>
  <c r="C58" i="9"/>
  <c r="B58" i="9"/>
  <c r="A58" i="9"/>
  <c r="D57" i="9"/>
  <c r="C56" i="9"/>
  <c r="B56" i="9"/>
  <c r="A56" i="9"/>
  <c r="H55" i="9"/>
  <c r="F55" i="9"/>
  <c r="G55" i="9"/>
  <c r="C55" i="9"/>
  <c r="D55" i="9" s="1"/>
  <c r="B55" i="9"/>
  <c r="A55" i="9"/>
  <c r="F54" i="9"/>
  <c r="G54" i="9"/>
  <c r="D54" i="9"/>
  <c r="F53" i="9"/>
  <c r="G53" i="9"/>
  <c r="C53" i="9"/>
  <c r="D53" i="9" s="1"/>
  <c r="B53" i="9"/>
  <c r="A53" i="9"/>
  <c r="F52" i="9"/>
  <c r="G52" i="9"/>
  <c r="C52" i="9"/>
  <c r="D52" i="9" s="1"/>
  <c r="B52" i="9"/>
  <c r="A52" i="9"/>
  <c r="F51" i="9"/>
  <c r="G51" i="9"/>
  <c r="C51" i="9"/>
  <c r="D51" i="9" s="1"/>
  <c r="B51" i="9"/>
  <c r="A51" i="9"/>
  <c r="F50" i="9"/>
  <c r="G50" i="9"/>
  <c r="C50" i="9"/>
  <c r="D50" i="9" s="1"/>
  <c r="B50" i="9"/>
  <c r="A50" i="9"/>
  <c r="H49" i="9"/>
  <c r="F49" i="9"/>
  <c r="G49" i="9"/>
  <c r="C49" i="9"/>
  <c r="B49" i="9"/>
  <c r="A49" i="9"/>
  <c r="F48" i="9"/>
  <c r="G48" i="9"/>
  <c r="D48" i="9"/>
  <c r="F47" i="9"/>
  <c r="G47" i="9"/>
  <c r="C47" i="9"/>
  <c r="B47" i="9"/>
  <c r="A47" i="9"/>
  <c r="F46" i="9"/>
  <c r="G46" i="9"/>
  <c r="C46" i="9"/>
  <c r="D46" i="9" s="1"/>
  <c r="B46" i="9"/>
  <c r="A46" i="9"/>
  <c r="F45" i="9"/>
  <c r="G45" i="9"/>
  <c r="C45" i="9"/>
  <c r="D45" i="9" s="1"/>
  <c r="B45" i="9"/>
  <c r="A45" i="9"/>
  <c r="F44" i="9"/>
  <c r="G44" i="9"/>
  <c r="C44" i="9"/>
  <c r="D44" i="9" s="1"/>
  <c r="B44" i="9"/>
  <c r="A44" i="9"/>
  <c r="H43" i="9"/>
  <c r="F43" i="9"/>
  <c r="G43" i="9"/>
  <c r="C43" i="9"/>
  <c r="D43" i="9" s="1"/>
  <c r="B43" i="9"/>
  <c r="A43" i="9"/>
  <c r="F42" i="9"/>
  <c r="G42" i="9"/>
  <c r="D42" i="9"/>
  <c r="F41" i="9"/>
  <c r="G41" i="9"/>
  <c r="C41" i="9"/>
  <c r="D41" i="9" s="1"/>
  <c r="B41" i="9"/>
  <c r="A41" i="9"/>
  <c r="F40" i="9"/>
  <c r="G40" i="9"/>
  <c r="C40" i="9"/>
  <c r="B40" i="9"/>
  <c r="A40" i="9"/>
  <c r="H39" i="9"/>
  <c r="F39" i="9"/>
  <c r="G39" i="9"/>
  <c r="C39" i="9"/>
  <c r="D39" i="9" s="1"/>
  <c r="B39" i="9"/>
  <c r="A39" i="9"/>
  <c r="F38" i="9"/>
  <c r="G38" i="9"/>
  <c r="D38" i="9"/>
  <c r="F37" i="9"/>
  <c r="G37" i="9"/>
  <c r="C37" i="9"/>
  <c r="D37" i="9" s="1"/>
  <c r="B37" i="9"/>
  <c r="A37" i="9"/>
  <c r="F36" i="9"/>
  <c r="G36" i="9"/>
  <c r="C36" i="9"/>
  <c r="D36" i="9" s="1"/>
  <c r="B36" i="9"/>
  <c r="A36" i="9"/>
  <c r="F35" i="9"/>
  <c r="G35" i="9"/>
  <c r="C35" i="9"/>
  <c r="D35" i="9" s="1"/>
  <c r="B35" i="9"/>
  <c r="A35" i="9"/>
  <c r="H34" i="9"/>
  <c r="F34" i="9"/>
  <c r="G34" i="9"/>
  <c r="C34" i="9"/>
  <c r="B34" i="9"/>
  <c r="A34" i="9"/>
  <c r="F33" i="9"/>
  <c r="G33" i="9"/>
  <c r="D33" i="9"/>
  <c r="F32" i="9"/>
  <c r="G32" i="9"/>
  <c r="C32" i="9"/>
  <c r="D32" i="9" s="1"/>
  <c r="B32" i="9"/>
  <c r="A32" i="9"/>
  <c r="F31" i="9"/>
  <c r="G31" i="9"/>
  <c r="D31" i="9"/>
  <c r="B31" i="9"/>
  <c r="A31" i="9"/>
  <c r="F30" i="9"/>
  <c r="G30" i="9"/>
  <c r="C30" i="9"/>
  <c r="B30" i="9"/>
  <c r="A30" i="9"/>
  <c r="H29" i="9"/>
  <c r="F29" i="9"/>
  <c r="G29" i="9"/>
  <c r="C29" i="9"/>
  <c r="D29" i="9" s="1"/>
  <c r="B29" i="9"/>
  <c r="A29" i="9"/>
  <c r="F28" i="9"/>
  <c r="G28" i="9"/>
  <c r="D28" i="9"/>
  <c r="F27" i="9"/>
  <c r="G27" i="9"/>
  <c r="C27" i="9"/>
  <c r="D27" i="9" s="1"/>
  <c r="B27" i="9"/>
  <c r="A27" i="9"/>
  <c r="F26" i="9"/>
  <c r="G26" i="9"/>
  <c r="C26" i="9"/>
  <c r="D26" i="9" s="1"/>
  <c r="B26" i="9"/>
  <c r="A26" i="9"/>
  <c r="F25" i="9"/>
  <c r="G25" i="9"/>
  <c r="C25" i="9"/>
  <c r="B25" i="9"/>
  <c r="A25" i="9"/>
  <c r="F24" i="9"/>
  <c r="G24" i="9"/>
  <c r="C24" i="9"/>
  <c r="D24" i="9" s="1"/>
  <c r="B24" i="9"/>
  <c r="A24" i="9"/>
  <c r="H23" i="9"/>
  <c r="F23" i="9"/>
  <c r="G23" i="9"/>
  <c r="C23" i="9"/>
  <c r="D23" i="9" s="1"/>
  <c r="B23" i="9"/>
  <c r="A23" i="9"/>
  <c r="F22" i="9"/>
  <c r="G22" i="9"/>
  <c r="D22" i="9"/>
  <c r="F21" i="9"/>
  <c r="G21" i="9"/>
  <c r="C21" i="9"/>
  <c r="D21" i="9" s="1"/>
  <c r="B21" i="9"/>
  <c r="A21" i="9"/>
  <c r="F20" i="9"/>
  <c r="G20" i="9"/>
  <c r="C20" i="9"/>
  <c r="D20" i="9" s="1"/>
  <c r="B20" i="9"/>
  <c r="A20" i="9"/>
  <c r="F19" i="9"/>
  <c r="G19" i="9"/>
  <c r="C19" i="9"/>
  <c r="B19" i="9"/>
  <c r="A19" i="9"/>
  <c r="F18" i="9"/>
  <c r="G18" i="9"/>
  <c r="C18" i="9"/>
  <c r="D18" i="9" s="1"/>
  <c r="B18" i="9"/>
  <c r="A18" i="9"/>
  <c r="F17" i="9"/>
  <c r="G17" i="9"/>
  <c r="C17" i="9"/>
  <c r="D17" i="9" s="1"/>
  <c r="B17" i="9"/>
  <c r="A17" i="9"/>
  <c r="F16" i="9"/>
  <c r="G16" i="9"/>
  <c r="C16" i="9"/>
  <c r="D16" i="9" s="1"/>
  <c r="B16" i="9"/>
  <c r="A16" i="9"/>
  <c r="F15" i="9"/>
  <c r="G15" i="9"/>
  <c r="C15" i="9"/>
  <c r="D15" i="9" s="1"/>
  <c r="B15" i="9"/>
  <c r="A15" i="9"/>
  <c r="F14" i="9"/>
  <c r="G14" i="9"/>
  <c r="C14" i="9"/>
  <c r="D14" i="9" s="1"/>
  <c r="B14" i="9"/>
  <c r="A14" i="9"/>
  <c r="H13" i="9"/>
  <c r="F13" i="9"/>
  <c r="G13" i="9"/>
  <c r="C13" i="9"/>
  <c r="D13" i="9" s="1"/>
  <c r="B13" i="9"/>
  <c r="A13" i="9"/>
  <c r="F12" i="9"/>
  <c r="G12" i="9"/>
  <c r="D12" i="9"/>
  <c r="F11" i="9"/>
  <c r="G11" i="9"/>
  <c r="C11" i="9"/>
  <c r="D11" i="9" s="1"/>
  <c r="B11" i="9"/>
  <c r="A11" i="9"/>
  <c r="F10" i="9"/>
  <c r="G10" i="9"/>
  <c r="C10" i="9"/>
  <c r="D10" i="9" s="1"/>
  <c r="B10" i="9"/>
  <c r="A10" i="9"/>
  <c r="F9" i="9"/>
  <c r="G9" i="9"/>
  <c r="C9" i="9"/>
  <c r="D9" i="9" s="1"/>
  <c r="B9" i="9"/>
  <c r="A9" i="9"/>
  <c r="F8" i="9"/>
  <c r="G8" i="9"/>
  <c r="C8" i="9"/>
  <c r="A8" i="9"/>
  <c r="H7" i="9"/>
  <c r="F7" i="9"/>
  <c r="G7" i="9"/>
  <c r="C7" i="9"/>
  <c r="D7" i="9" s="1"/>
  <c r="A7" i="9"/>
  <c r="F6" i="9"/>
  <c r="G6" i="9"/>
  <c r="D6" i="9"/>
  <c r="F5" i="9"/>
  <c r="G5" i="9"/>
  <c r="C5" i="9"/>
  <c r="D5" i="9" s="1"/>
  <c r="B5" i="9"/>
  <c r="A5" i="9"/>
  <c r="F4" i="9"/>
  <c r="G4" i="9"/>
  <c r="C4" i="9"/>
  <c r="D4" i="9" s="1"/>
  <c r="B4" i="9"/>
  <c r="A4" i="9"/>
  <c r="F3" i="9"/>
  <c r="G3" i="9"/>
  <c r="B3" i="9"/>
  <c r="A3" i="9"/>
  <c r="H2" i="9"/>
  <c r="C2" i="9"/>
  <c r="D2" i="9" s="1"/>
  <c r="F2" i="9" s="1"/>
  <c r="G2" i="9" s="1"/>
  <c r="B2" i="9"/>
  <c r="A2" i="9"/>
  <c r="H1" i="9"/>
  <c r="C1" i="9"/>
  <c r="B1" i="9"/>
  <c r="A1" i="9"/>
  <c r="H83" i="8"/>
  <c r="C83" i="8"/>
  <c r="C81" i="8"/>
  <c r="D81" i="8" s="1"/>
  <c r="B81" i="8"/>
  <c r="A81" i="8"/>
  <c r="C80" i="8"/>
  <c r="D80" i="8" s="1"/>
  <c r="B80" i="8"/>
  <c r="A80" i="8"/>
  <c r="C79" i="8"/>
  <c r="D79" i="8" s="1"/>
  <c r="B79" i="8"/>
  <c r="A79" i="8"/>
  <c r="C78" i="8"/>
  <c r="D78" i="8" s="1"/>
  <c r="B78" i="8"/>
  <c r="A78" i="8"/>
  <c r="H77" i="8"/>
  <c r="G21" i="8" s="1"/>
  <c r="C77" i="8"/>
  <c r="B77" i="8"/>
  <c r="A77" i="8"/>
  <c r="D76" i="8"/>
  <c r="H75" i="8"/>
  <c r="G2" i="8" s="1"/>
  <c r="C75" i="8"/>
  <c r="B75" i="8"/>
  <c r="F2" i="8" s="1"/>
  <c r="A75" i="8"/>
  <c r="D74" i="8"/>
  <c r="C73" i="8"/>
  <c r="D73" i="8" s="1"/>
  <c r="B73" i="8"/>
  <c r="A73" i="8"/>
  <c r="C72" i="8"/>
  <c r="D72" i="8" s="1"/>
  <c r="B72" i="8"/>
  <c r="A72" i="8"/>
  <c r="C71" i="8"/>
  <c r="D71" i="8" s="1"/>
  <c r="B71" i="8"/>
  <c r="A71" i="8"/>
  <c r="H70" i="8"/>
  <c r="G18" i="8" s="1"/>
  <c r="C70" i="8"/>
  <c r="B70" i="8"/>
  <c r="A70" i="8"/>
  <c r="D69" i="8"/>
  <c r="C68" i="8"/>
  <c r="D68" i="8" s="1"/>
  <c r="B68" i="8"/>
  <c r="A68" i="8"/>
  <c r="H67" i="8"/>
  <c r="G6" i="8" s="1"/>
  <c r="C67" i="8"/>
  <c r="B67" i="8"/>
  <c r="A67" i="8"/>
  <c r="D66" i="8"/>
  <c r="C65" i="8"/>
  <c r="D65" i="8" s="1"/>
  <c r="B65" i="8"/>
  <c r="A65" i="8"/>
  <c r="C64" i="8"/>
  <c r="D64" i="8" s="1"/>
  <c r="B64" i="8"/>
  <c r="A64" i="8"/>
  <c r="C63" i="8"/>
  <c r="D63" i="8" s="1"/>
  <c r="B63" i="8"/>
  <c r="A63" i="8"/>
  <c r="H62" i="8"/>
  <c r="G8" i="8" s="1"/>
  <c r="C62" i="8"/>
  <c r="B62" i="8"/>
  <c r="A62" i="8"/>
  <c r="D61" i="8"/>
  <c r="C60" i="8"/>
  <c r="D60" i="8" s="1"/>
  <c r="B60" i="8"/>
  <c r="A60" i="8"/>
  <c r="C59" i="8"/>
  <c r="B59" i="8"/>
  <c r="A59" i="8"/>
  <c r="H58" i="8"/>
  <c r="G7" i="8" s="1"/>
  <c r="C58" i="8"/>
  <c r="D58" i="8" s="1"/>
  <c r="B58" i="8"/>
  <c r="A58" i="8"/>
  <c r="D57" i="8"/>
  <c r="C56" i="8"/>
  <c r="D56" i="8" s="1"/>
  <c r="B56" i="8"/>
  <c r="A56" i="8"/>
  <c r="C55" i="8"/>
  <c r="D55" i="8" s="1"/>
  <c r="B55" i="8"/>
  <c r="A55" i="8"/>
  <c r="C54" i="8"/>
  <c r="B54" i="8"/>
  <c r="A54" i="8"/>
  <c r="C53" i="8"/>
  <c r="D53" i="8" s="1"/>
  <c r="B53" i="8"/>
  <c r="A53" i="8"/>
  <c r="H52" i="8"/>
  <c r="G9" i="8" s="1"/>
  <c r="C52" i="8"/>
  <c r="D52" i="8" s="1"/>
  <c r="B52" i="8"/>
  <c r="A52" i="8"/>
  <c r="D51" i="8"/>
  <c r="C50" i="8"/>
  <c r="D50" i="8" s="1"/>
  <c r="B50" i="8"/>
  <c r="A50" i="8"/>
  <c r="C49" i="8"/>
  <c r="D49" i="8" s="1"/>
  <c r="B49" i="8"/>
  <c r="A49" i="8"/>
  <c r="C48" i="8"/>
  <c r="D48" i="8" s="1"/>
  <c r="B48" i="8"/>
  <c r="A48" i="8"/>
  <c r="H47" i="8"/>
  <c r="G3" i="8" s="1"/>
  <c r="C47" i="8"/>
  <c r="D47" i="8" s="1"/>
  <c r="B47" i="8"/>
  <c r="A47" i="8"/>
  <c r="D46" i="8"/>
  <c r="H45" i="8"/>
  <c r="G4" i="8" s="1"/>
  <c r="C45" i="8"/>
  <c r="B45" i="8"/>
  <c r="A45" i="8"/>
  <c r="D44" i="8"/>
  <c r="H43" i="8"/>
  <c r="G10" i="8" s="1"/>
  <c r="C43" i="8"/>
  <c r="B43" i="8"/>
  <c r="A43" i="8"/>
  <c r="D42" i="8"/>
  <c r="C41" i="8"/>
  <c r="D41" i="8" s="1"/>
  <c r="B41" i="8"/>
  <c r="A41" i="8"/>
  <c r="C40" i="8"/>
  <c r="D40" i="8" s="1"/>
  <c r="B40" i="8"/>
  <c r="A40" i="8"/>
  <c r="H39" i="8"/>
  <c r="G11" i="8" s="1"/>
  <c r="C39" i="8"/>
  <c r="B39" i="8"/>
  <c r="A39" i="8"/>
  <c r="D38" i="8"/>
  <c r="C37" i="8"/>
  <c r="D37" i="8" s="1"/>
  <c r="B37" i="8"/>
  <c r="A37" i="8"/>
  <c r="C36" i="8"/>
  <c r="D36" i="8" s="1"/>
  <c r="B36" i="8"/>
  <c r="A36" i="8"/>
  <c r="C35" i="8"/>
  <c r="D35" i="8" s="1"/>
  <c r="B35" i="8"/>
  <c r="A35" i="8"/>
  <c r="C34" i="8"/>
  <c r="D34" i="8" s="1"/>
  <c r="B34" i="8"/>
  <c r="A34" i="8"/>
  <c r="H33" i="8"/>
  <c r="G17" i="8" s="1"/>
  <c r="C33" i="8"/>
  <c r="B33" i="8"/>
  <c r="A33" i="8"/>
  <c r="D32" i="8"/>
  <c r="C31" i="8"/>
  <c r="D31" i="8" s="1"/>
  <c r="B31" i="8"/>
  <c r="A31" i="8"/>
  <c r="C30" i="8"/>
  <c r="B30" i="8"/>
  <c r="A30" i="8"/>
  <c r="C29" i="8"/>
  <c r="B29" i="8"/>
  <c r="A29" i="8"/>
  <c r="D28" i="8"/>
  <c r="B28" i="8"/>
  <c r="A28" i="8"/>
  <c r="C27" i="8"/>
  <c r="D27" i="8" s="1"/>
  <c r="B27" i="8"/>
  <c r="A27" i="8"/>
  <c r="H26" i="8"/>
  <c r="G13" i="8" s="1"/>
  <c r="C26" i="8"/>
  <c r="B26" i="8"/>
  <c r="A26" i="8"/>
  <c r="D25" i="8"/>
  <c r="C24" i="8"/>
  <c r="B24" i="8"/>
  <c r="A24" i="8"/>
  <c r="C23" i="8"/>
  <c r="D23" i="8" s="1"/>
  <c r="B23" i="8"/>
  <c r="A23" i="8"/>
  <c r="C22" i="8"/>
  <c r="D22" i="8" s="1"/>
  <c r="B22" i="8"/>
  <c r="A22" i="8"/>
  <c r="F21" i="8"/>
  <c r="C21" i="8"/>
  <c r="D21" i="8" s="1"/>
  <c r="B21" i="8"/>
  <c r="A21" i="8"/>
  <c r="F20" i="8"/>
  <c r="E20" i="8"/>
  <c r="C20" i="8"/>
  <c r="D20" i="8" s="1"/>
  <c r="B20" i="8"/>
  <c r="A20" i="8"/>
  <c r="F19" i="8"/>
  <c r="E19" i="8"/>
  <c r="C19" i="8"/>
  <c r="D19" i="8" s="1"/>
  <c r="B19" i="8"/>
  <c r="A19" i="8"/>
  <c r="F18" i="8"/>
  <c r="E18" i="8"/>
  <c r="C18" i="8"/>
  <c r="D18" i="8" s="1"/>
  <c r="B18" i="8"/>
  <c r="A18" i="8"/>
  <c r="F17" i="8"/>
  <c r="E17" i="8"/>
  <c r="C17" i="8"/>
  <c r="D17" i="8" s="1"/>
  <c r="B17" i="8"/>
  <c r="A17" i="8"/>
  <c r="H16" i="8"/>
  <c r="G15" i="8" s="1"/>
  <c r="C16" i="8"/>
  <c r="D16" i="8" s="1"/>
  <c r="B16" i="8"/>
  <c r="A16" i="8"/>
  <c r="F15" i="8"/>
  <c r="E15" i="8"/>
  <c r="D15" i="8"/>
  <c r="F14" i="8"/>
  <c r="E14" i="8"/>
  <c r="C14" i="8"/>
  <c r="D14" i="8" s="1"/>
  <c r="B14" i="8"/>
  <c r="A14" i="8"/>
  <c r="F13" i="8"/>
  <c r="E13" i="8"/>
  <c r="C13" i="8"/>
  <c r="D13" i="8" s="1"/>
  <c r="B13" i="8"/>
  <c r="A13" i="8"/>
  <c r="H12" i="8"/>
  <c r="G19" i="8" s="1"/>
  <c r="E12" i="8"/>
  <c r="C12" i="8"/>
  <c r="B12" i="8"/>
  <c r="A12" i="8"/>
  <c r="F11" i="8"/>
  <c r="E11" i="8"/>
  <c r="D11" i="8"/>
  <c r="E10" i="8"/>
  <c r="C10" i="8"/>
  <c r="D10" i="8" s="1"/>
  <c r="B10" i="8"/>
  <c r="A10" i="8"/>
  <c r="F9" i="8"/>
  <c r="E9" i="8"/>
  <c r="C9" i="8"/>
  <c r="D9" i="8" s="1"/>
  <c r="B9" i="8"/>
  <c r="A9" i="8"/>
  <c r="F8" i="8"/>
  <c r="E8" i="8"/>
  <c r="C8" i="8"/>
  <c r="B8" i="8"/>
  <c r="A8" i="8"/>
  <c r="F7" i="8"/>
  <c r="E7" i="8"/>
  <c r="C7" i="8"/>
  <c r="D7" i="8" s="1"/>
  <c r="B7" i="8"/>
  <c r="F6" i="8"/>
  <c r="C6" i="8"/>
  <c r="D6" i="8" s="1"/>
  <c r="B6" i="8"/>
  <c r="A6" i="8"/>
  <c r="F5" i="8"/>
  <c r="E5" i="8"/>
  <c r="C5" i="8"/>
  <c r="D5" i="8" s="1"/>
  <c r="B5" i="8"/>
  <c r="A5" i="8"/>
  <c r="E4" i="8"/>
  <c r="C4" i="8"/>
  <c r="D4" i="8" s="1"/>
  <c r="B4" i="8"/>
  <c r="A4" i="8"/>
  <c r="E3" i="8"/>
  <c r="C3" i="8"/>
  <c r="D3" i="8" s="1"/>
  <c r="B3" i="8"/>
  <c r="A3" i="8"/>
  <c r="H2" i="8"/>
  <c r="E2" i="8"/>
  <c r="C2" i="8"/>
  <c r="D2" i="8" s="1"/>
  <c r="B2" i="8"/>
  <c r="A2" i="8"/>
  <c r="H1" i="8"/>
  <c r="C1" i="8"/>
  <c r="B1" i="8"/>
  <c r="A1" i="8"/>
  <c r="A51" i="7"/>
  <c r="B41" i="7"/>
  <c r="A41" i="7"/>
  <c r="B23" i="7"/>
  <c r="A23" i="7"/>
  <c r="B22" i="7"/>
  <c r="B21" i="7"/>
  <c r="B20" i="7"/>
  <c r="B19" i="7"/>
  <c r="B18" i="7"/>
  <c r="B17" i="7"/>
  <c r="B16" i="7"/>
  <c r="B15" i="7"/>
  <c r="B14" i="7"/>
  <c r="A14" i="7"/>
  <c r="B13" i="7"/>
  <c r="B12" i="7"/>
  <c r="B11" i="7"/>
  <c r="B10" i="7"/>
  <c r="B9" i="7"/>
  <c r="B8" i="7"/>
  <c r="B7" i="7"/>
  <c r="B6" i="7"/>
  <c r="N5" i="7"/>
  <c r="A5" i="7"/>
  <c r="A1" i="5"/>
  <c r="F75" i="3"/>
  <c r="E75" i="3"/>
  <c r="A75" i="3"/>
  <c r="F74" i="3"/>
  <c r="E74" i="3"/>
  <c r="A74" i="3"/>
  <c r="F73" i="3"/>
  <c r="E73" i="3"/>
  <c r="D73" i="3"/>
  <c r="A73" i="3"/>
  <c r="F72" i="3"/>
  <c r="E72" i="3"/>
  <c r="D72" i="3"/>
  <c r="A72" i="3"/>
  <c r="F71" i="3"/>
  <c r="E71" i="3"/>
  <c r="D71" i="3"/>
  <c r="A71" i="3"/>
  <c r="F70" i="3"/>
  <c r="E70" i="3"/>
  <c r="D70" i="3"/>
  <c r="A70" i="3"/>
  <c r="F69" i="3"/>
  <c r="E69" i="3"/>
  <c r="D69" i="3"/>
  <c r="A69" i="3"/>
  <c r="F68" i="3"/>
  <c r="E68" i="3"/>
  <c r="D68" i="3"/>
  <c r="F67" i="3"/>
  <c r="E67" i="3"/>
  <c r="D67" i="3"/>
  <c r="A67" i="3"/>
  <c r="F66" i="3"/>
  <c r="D66" i="3"/>
  <c r="A66" i="3"/>
  <c r="F65" i="3"/>
  <c r="E65" i="3"/>
  <c r="D65" i="3"/>
  <c r="A65" i="3"/>
  <c r="F64" i="3"/>
  <c r="E64" i="3"/>
  <c r="D64" i="3"/>
  <c r="A64" i="3"/>
  <c r="F63" i="3"/>
  <c r="E63" i="3"/>
  <c r="D63" i="3"/>
  <c r="F62" i="3"/>
  <c r="E62" i="3"/>
  <c r="D62" i="3"/>
  <c r="A62" i="3"/>
  <c r="F61" i="3"/>
  <c r="E61" i="3"/>
  <c r="D61" i="3"/>
  <c r="A61" i="3"/>
  <c r="F60" i="3"/>
  <c r="E60" i="3"/>
  <c r="D60" i="3"/>
  <c r="A60" i="3"/>
  <c r="F59" i="3"/>
  <c r="E59" i="3"/>
  <c r="D59" i="3"/>
  <c r="A59" i="3"/>
  <c r="F58" i="3"/>
  <c r="E58" i="3"/>
  <c r="D58" i="3"/>
  <c r="A58" i="3"/>
  <c r="F56" i="3"/>
  <c r="E56" i="3"/>
  <c r="D56" i="3"/>
  <c r="F55" i="3"/>
  <c r="E55" i="3"/>
  <c r="D55" i="3"/>
  <c r="F54" i="3"/>
  <c r="E54" i="3"/>
  <c r="D54" i="3"/>
  <c r="F53" i="3"/>
  <c r="E53" i="3"/>
  <c r="D53" i="3"/>
  <c r="F52" i="3"/>
  <c r="E52" i="3"/>
  <c r="D52" i="3"/>
  <c r="F51" i="3"/>
  <c r="E51" i="3"/>
  <c r="D51" i="3"/>
  <c r="F50" i="3"/>
  <c r="E50" i="3"/>
  <c r="D50" i="3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D3" i="3"/>
  <c r="D2" i="3"/>
  <c r="A2" i="3"/>
  <c r="I23" i="2"/>
  <c r="H23" i="2"/>
  <c r="G23" i="2"/>
  <c r="F23" i="2"/>
  <c r="E23" i="2"/>
  <c r="I22" i="2"/>
  <c r="H22" i="2"/>
  <c r="G22" i="2"/>
  <c r="F22" i="2"/>
  <c r="E22" i="2"/>
  <c r="D20" i="2"/>
  <c r="I19" i="2"/>
  <c r="F19" i="2"/>
  <c r="E19" i="2"/>
  <c r="D19" i="2"/>
  <c r="I18" i="2"/>
  <c r="H18" i="2"/>
  <c r="G18" i="2"/>
  <c r="F18" i="2"/>
  <c r="E18" i="2"/>
  <c r="D18" i="2"/>
  <c r="I17" i="2"/>
  <c r="H17" i="2"/>
  <c r="G17" i="2"/>
  <c r="F17" i="2"/>
  <c r="E17" i="2"/>
  <c r="D17" i="2"/>
  <c r="I15" i="2"/>
  <c r="H15" i="2"/>
  <c r="G15" i="2"/>
  <c r="F15" i="2"/>
  <c r="E15" i="2"/>
  <c r="D15" i="2"/>
  <c r="I14" i="2"/>
  <c r="H14" i="2"/>
  <c r="G14" i="2"/>
  <c r="F14" i="2"/>
  <c r="E14" i="2"/>
  <c r="D14" i="2"/>
  <c r="I13" i="2"/>
  <c r="H13" i="2"/>
  <c r="G13" i="2"/>
  <c r="F13" i="2"/>
  <c r="E13" i="2"/>
  <c r="D13" i="2"/>
  <c r="I12" i="2"/>
  <c r="H12" i="2"/>
  <c r="G12" i="2"/>
  <c r="F12" i="2"/>
  <c r="E12" i="2"/>
  <c r="D12" i="2"/>
  <c r="I11" i="2"/>
  <c r="H11" i="2"/>
  <c r="G11" i="2"/>
  <c r="F11" i="2"/>
  <c r="E11" i="2"/>
  <c r="D11" i="2"/>
  <c r="I10" i="2"/>
  <c r="H10" i="2"/>
  <c r="G10" i="2"/>
  <c r="F10" i="2"/>
  <c r="E10" i="2"/>
  <c r="D10" i="2"/>
  <c r="I9" i="2"/>
  <c r="H9" i="2"/>
  <c r="G9" i="2"/>
  <c r="F9" i="2"/>
  <c r="E9" i="2"/>
  <c r="D9" i="2"/>
  <c r="I8" i="2"/>
  <c r="H8" i="2"/>
  <c r="G8" i="2"/>
  <c r="F8" i="2"/>
  <c r="E8" i="2"/>
  <c r="D8" i="2"/>
  <c r="I7" i="2"/>
  <c r="H7" i="2"/>
  <c r="G7" i="2"/>
  <c r="F7" i="2"/>
  <c r="E7" i="2"/>
  <c r="D7" i="2"/>
  <c r="I6" i="2"/>
  <c r="H6" i="2"/>
  <c r="G6" i="2"/>
  <c r="F6" i="2"/>
  <c r="E6" i="2"/>
  <c r="D6" i="2"/>
  <c r="I5" i="2"/>
  <c r="H5" i="2"/>
  <c r="G5" i="2"/>
  <c r="F5" i="2"/>
  <c r="E5" i="2"/>
  <c r="I4" i="2"/>
  <c r="H4" i="2"/>
  <c r="G4" i="2"/>
  <c r="F4" i="2"/>
  <c r="E4" i="2"/>
  <c r="D4" i="2"/>
  <c r="I3" i="2"/>
  <c r="H3" i="2"/>
  <c r="G3" i="2"/>
  <c r="F3" i="2"/>
  <c r="E3" i="2"/>
  <c r="D8" i="9" l="1"/>
  <c r="D227" i="9"/>
  <c r="D286" i="9"/>
  <c r="D236" i="9"/>
  <c r="D142" i="9"/>
  <c r="D19" i="9"/>
  <c r="D122" i="9"/>
  <c r="D130" i="9"/>
  <c r="D232" i="9"/>
  <c r="D300" i="9"/>
  <c r="D3" i="9"/>
  <c r="D77" i="9"/>
  <c r="D162" i="9"/>
  <c r="D45" i="8"/>
  <c r="F4" i="8" s="1"/>
  <c r="D58" i="9"/>
  <c r="D96" i="9"/>
  <c r="D266" i="9"/>
  <c r="D59" i="8"/>
  <c r="D30" i="8"/>
  <c r="D107" i="9"/>
  <c r="D201" i="9"/>
  <c r="D67" i="8"/>
  <c r="D47" i="9"/>
  <c r="D24" i="8"/>
  <c r="D33" i="8"/>
  <c r="D40" i="9"/>
  <c r="D152" i="9"/>
  <c r="D191" i="9"/>
  <c r="D12" i="8"/>
  <c r="D75" i="8"/>
  <c r="D64" i="9"/>
  <c r="D115" i="9"/>
  <c r="D293" i="9"/>
  <c r="D26" i="8"/>
  <c r="D56" i="9"/>
  <c r="D195" i="9"/>
  <c r="D258" i="9"/>
  <c r="D49" i="9"/>
  <c r="D210" i="9"/>
  <c r="D43" i="8"/>
  <c r="F10" i="8" s="1"/>
  <c r="D25" i="9"/>
  <c r="D34" i="9"/>
  <c r="D8" i="8"/>
  <c r="D29" i="8"/>
  <c r="F12" i="8" s="1"/>
  <c r="D276" i="9"/>
  <c r="D284" i="9"/>
  <c r="D77" i="8"/>
  <c r="G12" i="8"/>
  <c r="D164" i="9"/>
  <c r="D88" i="9"/>
  <c r="D70" i="8"/>
  <c r="D110" i="9"/>
  <c r="D119" i="9"/>
  <c r="G14" i="8"/>
  <c r="D54" i="8"/>
  <c r="D246" i="9"/>
  <c r="D252" i="9"/>
  <c r="D39" i="8"/>
  <c r="D73" i="9"/>
  <c r="D82" i="9"/>
  <c r="D270" i="9"/>
  <c r="D154" i="9"/>
  <c r="D100" i="9"/>
  <c r="D260" i="9"/>
  <c r="D92" i="9"/>
  <c r="G5" i="8"/>
  <c r="D62" i="8"/>
  <c r="D223" i="9"/>
  <c r="D177" i="9"/>
  <c r="D30" i="9"/>
  <c r="D173" i="9"/>
  <c r="D135" i="9"/>
  <c r="G2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Silva dos Santos</author>
    <author>tc={03D10C1E-1F0B-4635-9625-1BF9F84C8EF8}</author>
    <author>tc={C68038C7-9C0F-4295-89D5-47AB83D817DB}</author>
  </authors>
  <commentList>
    <comment ref="A4" authorId="0" shapeId="0" xr:uid="{5E63BC81-CE3B-4044-B0D1-30ABD4E71E92}">
      <text>
        <r>
          <rPr>
            <b/>
            <sz val="9"/>
            <color indexed="81"/>
            <rFont val="Segoe UI"/>
            <family val="2"/>
          </rPr>
          <t>Bruno Silva dos Santos:</t>
        </r>
        <r>
          <rPr>
            <sz val="9"/>
            <color indexed="81"/>
            <rFont val="Segoe UI"/>
            <family val="2"/>
          </rPr>
          <t xml:space="preserve">
Irá fechar em Janeiro para reforma, previsão 6 meses.
</t>
        </r>
      </text>
    </comment>
    <comment ref="A6" authorId="0" shapeId="0" xr:uid="{41991969-9C12-41E8-999F-39358954421A}">
      <text>
        <r>
          <rPr>
            <b/>
            <sz val="9"/>
            <color indexed="81"/>
            <rFont val="Segoe UI"/>
            <family val="2"/>
          </rPr>
          <t>Bruno Silva dos Santos:</t>
        </r>
        <r>
          <rPr>
            <sz val="9"/>
            <color indexed="81"/>
            <rFont val="Segoe UI"/>
            <family val="2"/>
          </rPr>
          <t xml:space="preserve">
irá fechar em Janeiro 2024 para reforma, previsão 6 meses
</t>
        </r>
      </text>
    </comment>
    <comment ref="A19" authorId="1" shapeId="0" xr:uid="{03D10C1E-1F0B-4635-9625-1BF9F84C8EF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Previsão de Abertura 2024</t>
      </text>
    </comment>
    <comment ref="A54" authorId="2" shapeId="0" xr:uid="{C68038C7-9C0F-4295-89D5-47AB83D817D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Previsão de Abertura 2ª quinzena 2024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Silva dos Santos</author>
    <author>tc={5BDD456B-72B6-49FC-A4A0-74DFD7B897CE}</author>
    <author>tc={BF85FBA4-7BD7-4284-8738-5CC257E5C913}</author>
  </authors>
  <commentList>
    <comment ref="A3" authorId="0" shapeId="0" xr:uid="{1C9EE5BD-E516-45F8-868A-96C48F13FE7F}">
      <text>
        <r>
          <rPr>
            <b/>
            <sz val="9"/>
            <color indexed="81"/>
            <rFont val="Segoe UI"/>
            <family val="2"/>
          </rPr>
          <t>Bruno Silva dos Santos:</t>
        </r>
        <r>
          <rPr>
            <sz val="9"/>
            <color indexed="81"/>
            <rFont val="Segoe UI"/>
            <family val="2"/>
          </rPr>
          <t xml:space="preserve">
Irá fechar em Janeiro para reforma, previsão 6 meses.
</t>
        </r>
      </text>
    </comment>
    <comment ref="A5" authorId="0" shapeId="0" xr:uid="{EB050B0D-D997-49A0-8A7F-08FAD174CB92}">
      <text>
        <r>
          <rPr>
            <b/>
            <sz val="9"/>
            <color indexed="81"/>
            <rFont val="Segoe UI"/>
            <family val="2"/>
          </rPr>
          <t>Bruno Silva dos Santos:</t>
        </r>
        <r>
          <rPr>
            <sz val="9"/>
            <color indexed="81"/>
            <rFont val="Segoe UI"/>
            <family val="2"/>
          </rPr>
          <t xml:space="preserve">
irá fechar em Janeiro 2024 para reforma, previsão 6 meses
</t>
        </r>
      </text>
    </comment>
    <comment ref="A18" authorId="1" shapeId="0" xr:uid="{5BDD456B-72B6-49FC-A4A0-74DFD7B897C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Previsão de Abertura 2024</t>
      </text>
    </comment>
    <comment ref="A53" authorId="2" shapeId="0" xr:uid="{BF85FBA4-7BD7-4284-8738-5CC257E5C91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Previsão de Abertura 2ª quinzena 2024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tc={35E5C605-86B2-42E5-ABCF-8468F36A186F}</author>
  </authors>
  <commentList>
    <comment ref="D211" authorId="0" shapeId="0" xr:uid="{35E5C605-86B2-42E5-ABCF-8468F36A186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Computadores roubados 04/11/2023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iblioteca" description="Conexão com a consulta 'Biblioteca' na pasta de trabalho." type="5" refreshedVersion="8" background="1" saveData="1">
    <dbPr connection="Provider=Microsoft.Mashup.OleDb.1;Data Source=$Workbook$;Location=Biblioteca;Extended Properties=&quot;&quot;" command="SELECT * FROM [Biblioteca]"/>
  </connection>
  <connection id="2" xr16:uid="{00000000-0015-0000-FFFF-FFFF01000000}" keepAlive="1" name="Consulta - Estrutura" description="Conexão com a consulta 'Estrutura' na pasta de trabalho." type="5" refreshedVersion="8" background="1" saveData="1">
    <dbPr connection="Provider=Microsoft.Mashup.OleDb.1;Data Source=$Workbook$;Location=Estrutura;Extended Properties=&quot;&quot;" command="SELECT * FROM [Estrutura]"/>
  </connection>
</connections>
</file>

<file path=xl/sharedStrings.xml><?xml version="1.0" encoding="utf-8"?>
<sst xmlns="http://schemas.openxmlformats.org/spreadsheetml/2006/main" count="7433" uniqueCount="3943">
  <si>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</si>
  <si>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</si>
  <si>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</si>
  <si>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</si>
  <si>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</si>
  <si>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</si>
  <si>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</si>
  <si>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</si>
  <si>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</si>
  <si>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</si>
  <si>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</si>
  <si>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</si>
  <si>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</si>
  <si>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</si>
  <si>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</si>
  <si>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</si>
  <si>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</si>
  <si>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</si>
  <si>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Núcleo de Extensão em Leitura</t>
  </si>
  <si>
    <t>Lucas Carlos de Oliveira Silva</t>
  </si>
  <si>
    <t>ESTRUTURA</t>
  </si>
  <si>
    <t>REGISTRO FUNCIONAL</t>
  </si>
  <si>
    <t>NOME</t>
  </si>
  <si>
    <t>CARGO</t>
  </si>
  <si>
    <t>COORDENAÇÃO</t>
  </si>
  <si>
    <t>BIBLIOTECÁRIO</t>
  </si>
  <si>
    <t>OUTRAS CARREIRAS DE NÍVEL SUPERIOR</t>
  </si>
  <si>
    <t>ADMINISTRATIVO/NÍVEL MÉDIO</t>
  </si>
  <si>
    <t>OPERACIONAL/FUNDAMENTAL</t>
  </si>
  <si>
    <t>OPERACIONAL/FUNDAMENTAL - VIGIA</t>
  </si>
  <si>
    <t xml:space="preserve">TOTAL FUNCIONÁRIOS </t>
  </si>
  <si>
    <t>JOVEM MONITOR -  Nº DE VAGAS POR BIBLIOTECAS</t>
  </si>
  <si>
    <t>OCORRÊNCIAS</t>
  </si>
  <si>
    <t>Setor de Reencadernação</t>
  </si>
  <si>
    <t>William Gabriel Vicente</t>
  </si>
  <si>
    <t>Núcleo de Extensão - Pontos de Leitura</t>
  </si>
  <si>
    <t>Rosana Aparecida Santana</t>
  </si>
  <si>
    <t>Administrativo/Nível Médio</t>
  </si>
  <si>
    <t>CSMB – Coordenação</t>
  </si>
  <si>
    <t>Raquel da Silva Oliveira</t>
  </si>
  <si>
    <t xml:space="preserve">Maria Izabel Rueda </t>
  </si>
  <si>
    <t>Operacional/Fundamental</t>
  </si>
  <si>
    <t>Supervisão de Bibliotecas</t>
  </si>
  <si>
    <t xml:space="preserve">Sueli Nemen Rocha </t>
  </si>
  <si>
    <t>Joe André Simões</t>
  </si>
  <si>
    <t>Núcleos Regionais - Leste/Sul</t>
  </si>
  <si>
    <t>Roseli Pires Santos Destre</t>
  </si>
  <si>
    <t>Osmar Guimarães</t>
  </si>
  <si>
    <t>Núcleos Regionais - Centro/Norte/Oeste</t>
  </si>
  <si>
    <t>Adilva Maria de Azevedo Santos</t>
  </si>
  <si>
    <t>Patrícia de Oliveira Iticava</t>
  </si>
  <si>
    <t>Bibliotecário</t>
  </si>
  <si>
    <t>Supervisão de Planejamento - Coordenação</t>
  </si>
  <si>
    <t>Joeli Espirito Santo Rocha</t>
  </si>
  <si>
    <t>Tânia Fortes Santa Clara</t>
  </si>
  <si>
    <t>Assessoria em Tecnologia da Informação</t>
  </si>
  <si>
    <t>Bruno Silva dos Santos</t>
  </si>
  <si>
    <t>SCT – Coordenação</t>
  </si>
  <si>
    <t>Wanda Moreira Martins Santos</t>
  </si>
  <si>
    <t>Cícero Barros da Silva</t>
  </si>
  <si>
    <t>SCT - Seção de Avaliação Seleção e Aquisição</t>
  </si>
  <si>
    <t>Janaina Pissinato</t>
  </si>
  <si>
    <t>Núcleo de Extensão - Bosques da Leitura</t>
  </si>
  <si>
    <t>Nilce Ferreira da Silva</t>
  </si>
  <si>
    <t>SCT - Consistência de Dados</t>
  </si>
  <si>
    <t>Roseli Akemi Sakamoto Kikkawa</t>
  </si>
  <si>
    <t>SCT - Seção de Controle Bibliográfico</t>
  </si>
  <si>
    <t>Natália Ramos Zambrano</t>
  </si>
  <si>
    <t>SCT - Controle de Vocabulário</t>
  </si>
  <si>
    <t>Pablo Marcos Derqui</t>
  </si>
  <si>
    <t>Angela Martins dos Santos</t>
  </si>
  <si>
    <t>SCT - Doação e Apoio Técnico</t>
  </si>
  <si>
    <t>Ana Lucia Moura Reis</t>
  </si>
  <si>
    <t>Rodisnei José da Silva</t>
  </si>
  <si>
    <t>Supervisão de Programas e Projetos</t>
  </si>
  <si>
    <t>Érika Muniz Lins</t>
  </si>
  <si>
    <t>Protocolo (Lapa)**</t>
  </si>
  <si>
    <t>José Edson da Silva</t>
  </si>
  <si>
    <t>Therezinha Pereira da Silva</t>
  </si>
  <si>
    <t>Zeladoria*</t>
  </si>
  <si>
    <t>Joel Saletti</t>
  </si>
  <si>
    <t>Marilda Ferrão Carteiro</t>
  </si>
  <si>
    <t>Raymund Joaquim F. Andrade</t>
  </si>
  <si>
    <t>Eli de Oliveira</t>
  </si>
  <si>
    <t>Marcia Yoshie Tamura Tomomitsu</t>
  </si>
  <si>
    <t>Alexandre Morrone</t>
  </si>
  <si>
    <t>Maria Matiko Miyahira Morita</t>
  </si>
  <si>
    <t>Ricardo Ernesto Vasquez Beltrão</t>
  </si>
  <si>
    <t>Superior</t>
  </si>
  <si>
    <t>Rita de Cassia de Araujo Flor</t>
  </si>
  <si>
    <t>Ailton Lauriano Ferreira</t>
  </si>
  <si>
    <t>Alexandro da Silva Matos Maia</t>
  </si>
  <si>
    <t>Supervisão de Planejamento - Avaliação e Monitoramento</t>
  </si>
  <si>
    <t>Sara da Rocha Campos Pereira</t>
  </si>
  <si>
    <t>Danilo Fermino Ribeiro</t>
  </si>
  <si>
    <t>Alexandre Miyazato</t>
  </si>
  <si>
    <t>Supervisão de Planejamento - Website</t>
  </si>
  <si>
    <t xml:space="preserve">Laura Junqueira Caldas </t>
  </si>
  <si>
    <t>Sandro Lux Santana</t>
  </si>
  <si>
    <t>Wilson Santos de Jesus</t>
  </si>
  <si>
    <t>SCT - Setor de Expedição</t>
  </si>
  <si>
    <t>Genilson Santana dos Santos</t>
  </si>
  <si>
    <t>Davi Barbosa do Nascimento</t>
  </si>
  <si>
    <t>Vania Aparecida Camargo Penteado</t>
  </si>
  <si>
    <t xml:space="preserve">Benedito Márcio Arruda Bonilha </t>
  </si>
  <si>
    <t>Neuza Fusae Okayama Pereira</t>
  </si>
  <si>
    <t>Denise Orioli de Queiroz</t>
  </si>
  <si>
    <t xml:space="preserve">Elvira Villani </t>
  </si>
  <si>
    <t>Claudio Roberto da Silva</t>
  </si>
  <si>
    <t>Claudia Maria Lopes de Oliveira Vechiato</t>
  </si>
  <si>
    <t>Bárbara Samantha Freire De Paula</t>
  </si>
  <si>
    <t>Alessandra Pereira de Sousa</t>
  </si>
  <si>
    <t>Miho Hieida</t>
  </si>
  <si>
    <t xml:space="preserve">Silvia do Carmo Vieira </t>
  </si>
  <si>
    <t>Maria das Graças Nascimento Marcelino</t>
  </si>
  <si>
    <t xml:space="preserve">877323-8 </t>
  </si>
  <si>
    <t>Gabriel Souza Belém Pimenta dos Santos</t>
  </si>
  <si>
    <t>892572-1</t>
  </si>
  <si>
    <t>Hugo Soares Machado</t>
  </si>
  <si>
    <t>855454-4</t>
  </si>
  <si>
    <t>Natalia Freitas Pereira</t>
  </si>
  <si>
    <t>Gabriel Pereira Barreto</t>
  </si>
  <si>
    <t>João Gomes e Silva</t>
  </si>
  <si>
    <t>Amaro Alves da Silva</t>
  </si>
  <si>
    <t>-</t>
  </si>
  <si>
    <t>TOTAIS</t>
  </si>
  <si>
    <t>Atualizar</t>
  </si>
  <si>
    <t>Parque Tecnológico
 (Inventário)</t>
  </si>
  <si>
    <t>Responsabilidades</t>
  </si>
  <si>
    <t>Canais de Atendimento</t>
  </si>
  <si>
    <t>Controle de Logistica</t>
  </si>
  <si>
    <t>Base de 
Conhecimento</t>
  </si>
  <si>
    <t>Memorandos</t>
  </si>
  <si>
    <t>Equipamentos para baixa</t>
  </si>
  <si>
    <t>Dados de Rede</t>
  </si>
  <si>
    <t>Anotações Diversas</t>
  </si>
  <si>
    <t>Planta
Baixa</t>
  </si>
  <si>
    <t>Fluxograma</t>
  </si>
  <si>
    <t>Status
Unidade</t>
  </si>
  <si>
    <t>Unid. Orçamentaria</t>
  </si>
  <si>
    <t>ID</t>
  </si>
  <si>
    <t>Unidade</t>
  </si>
  <si>
    <t>Endereço</t>
  </si>
  <si>
    <t>CEP</t>
  </si>
  <si>
    <t>Bairro</t>
  </si>
  <si>
    <t>SUB</t>
  </si>
  <si>
    <t>Zona</t>
  </si>
  <si>
    <t>Qtd.
FUNC</t>
  </si>
  <si>
    <t>Coordenação</t>
  </si>
  <si>
    <t>Telefone</t>
  </si>
  <si>
    <t>Celular</t>
  </si>
  <si>
    <t>Qtd.
Comput.</t>
  </si>
  <si>
    <t>Reforma</t>
  </si>
  <si>
    <t>BP-3-24/IJ</t>
  </si>
  <si>
    <t>BM24</t>
  </si>
  <si>
    <t>Biblioteca Adelpha Figueiredo</t>
  </si>
  <si>
    <t>Pça. Ilo Ottani, 146</t>
  </si>
  <si>
    <t>03028-003</t>
  </si>
  <si>
    <t>Pari</t>
  </si>
  <si>
    <t>MOOCA</t>
  </si>
  <si>
    <t>Z/N</t>
  </si>
  <si>
    <t>Renan Wangler de Andrade Silva</t>
  </si>
  <si>
    <t>2292-3439</t>
  </si>
  <si>
    <t>99235-8172</t>
  </si>
  <si>
    <t>Aberta</t>
  </si>
  <si>
    <t>BP-3-27</t>
  </si>
  <si>
    <t>BM27</t>
  </si>
  <si>
    <t>Biblioteca Afonso Schmidt</t>
  </si>
  <si>
    <t>AV. Elisio Teixeira Leite, 1470</t>
  </si>
  <si>
    <t>02801-000</t>
  </si>
  <si>
    <t>Freguesia do Ó</t>
  </si>
  <si>
    <t>FREGUESIA-BRASILANDIA</t>
  </si>
  <si>
    <t>Emanuela Fernandes Arantes</t>
  </si>
  <si>
    <t>3975-2305</t>
  </si>
  <si>
    <t>99790-1826</t>
  </si>
  <si>
    <t>BP-3-10</t>
  </si>
  <si>
    <t>BM10 - ONB</t>
  </si>
  <si>
    <t>Biblioteca Affonso Taunay</t>
  </si>
  <si>
    <t>R. Taquari, 549</t>
  </si>
  <si>
    <t>03162-030</t>
  </si>
  <si>
    <t>Moóca</t>
  </si>
  <si>
    <t>Z/L</t>
  </si>
  <si>
    <t>Sueli,Roseli,Adilva</t>
  </si>
  <si>
    <t>2292-5126</t>
  </si>
  <si>
    <t>98421-9611</t>
  </si>
  <si>
    <t>BP-3-33</t>
  </si>
  <si>
    <t>BM33</t>
  </si>
  <si>
    <t>Biblioteca Alceu Amoroso Lima</t>
  </si>
  <si>
    <t>Rua Henrique Schaumann, 777</t>
  </si>
  <si>
    <t>05413-021</t>
  </si>
  <si>
    <t>Pinheiros</t>
  </si>
  <si>
    <t>PINHEIROS</t>
  </si>
  <si>
    <t>Z/O</t>
  </si>
  <si>
    <t>Marcos César Triches</t>
  </si>
  <si>
    <t>3082-5023</t>
  </si>
  <si>
    <t>99224-4297</t>
  </si>
  <si>
    <t>BP-3-18</t>
  </si>
  <si>
    <t>BM18</t>
  </si>
  <si>
    <t>Biblioteca Álvares de Azevedo</t>
  </si>
  <si>
    <t>Pça. Joaquim José da Nova S/N</t>
  </si>
  <si>
    <t>02126-000</t>
  </si>
  <si>
    <t>V. Maria</t>
  </si>
  <si>
    <t>VL MARIA - VL GUILHERME</t>
  </si>
  <si>
    <t>Elaine Telles Rodrigues</t>
  </si>
  <si>
    <t>2954-2813</t>
  </si>
  <si>
    <t>99880-1676</t>
  </si>
  <si>
    <t>BP-3-11/IJ</t>
  </si>
  <si>
    <t>BM11</t>
  </si>
  <si>
    <t>Biblioteca Álvaro Guerra</t>
  </si>
  <si>
    <t>Av. Pedroso de Moraes, 1919</t>
  </si>
  <si>
    <t xml:space="preserve">Maria Angélica Martins Costa </t>
  </si>
  <si>
    <t>3031-7784</t>
  </si>
  <si>
    <t>98121-1034</t>
  </si>
  <si>
    <t>BP-3-31</t>
  </si>
  <si>
    <t>BM31</t>
  </si>
  <si>
    <t>Biblioteca Amadeu Amaral</t>
  </si>
  <si>
    <t>R. José C. Castro s/n</t>
  </si>
  <si>
    <t>04290-100</t>
  </si>
  <si>
    <t>Jd. da Saúde</t>
  </si>
  <si>
    <t>IPIRANGA</t>
  </si>
  <si>
    <t>Z/S</t>
  </si>
  <si>
    <t>Romildo Gregório de Lira</t>
  </si>
  <si>
    <t>5061-3320</t>
  </si>
  <si>
    <t>94995-9316</t>
  </si>
  <si>
    <t>BP-3-01/IJ</t>
  </si>
  <si>
    <t>BM01</t>
  </si>
  <si>
    <t>Biblioteca Anne Frank</t>
  </si>
  <si>
    <t>R. Cojuba, 45</t>
  </si>
  <si>
    <t>04533-040</t>
  </si>
  <si>
    <t>Itaim Bibi</t>
  </si>
  <si>
    <t xml:space="preserve">PINHEIROS </t>
  </si>
  <si>
    <t>William Okubo</t>
  </si>
  <si>
    <t>3078-6352</t>
  </si>
  <si>
    <t>98235-8411</t>
  </si>
  <si>
    <t>BP-3-13/IJ</t>
  </si>
  <si>
    <t>BM13</t>
  </si>
  <si>
    <t>Biblioteca Professor Arnaldo Magalhães Giácomo</t>
  </si>
  <si>
    <t>R. Restinga, 136</t>
  </si>
  <si>
    <t>03065-020</t>
  </si>
  <si>
    <t>Tatuapé</t>
  </si>
  <si>
    <t>Maria Aparecida Teles Gomes</t>
  </si>
  <si>
    <t>2295-0785</t>
  </si>
  <si>
    <t>98985-9623</t>
  </si>
  <si>
    <t>BP-3-53</t>
  </si>
  <si>
    <t>BM53</t>
  </si>
  <si>
    <t>Biblioteca Aureliano Leite</t>
  </si>
  <si>
    <t>R. Otto Schubart, 196</t>
  </si>
  <si>
    <t>03238-040</t>
  </si>
  <si>
    <t>Pq. São Lucas</t>
  </si>
  <si>
    <t>VL PRUDENTE</t>
  </si>
  <si>
    <t xml:space="preserve">Alessandro Acacio Rodrigues Paes </t>
  </si>
  <si>
    <t>2211-7716</t>
  </si>
  <si>
    <t>96352-4218</t>
  </si>
  <si>
    <t>BP-3-06/IJ</t>
  </si>
  <si>
    <t>BM06</t>
  </si>
  <si>
    <t>Biblioteca Belmonte</t>
  </si>
  <si>
    <t>R. Paulo Eiró, 525</t>
  </si>
  <si>
    <t>04752-010</t>
  </si>
  <si>
    <t>Santo Amaro</t>
  </si>
  <si>
    <t>SANTO AMARO</t>
  </si>
  <si>
    <t xml:space="preserve">Jomar de Jesus Santos </t>
  </si>
  <si>
    <t>5687-0408</t>
  </si>
  <si>
    <t>95370-2597</t>
  </si>
  <si>
    <t>BP-3-23</t>
  </si>
  <si>
    <t>BM23</t>
  </si>
  <si>
    <t>Biblioteca Brito Broca</t>
  </si>
  <si>
    <t>Av. Mutinga, 1425</t>
  </si>
  <si>
    <t>05110-000</t>
  </si>
  <si>
    <t>Pirituba</t>
  </si>
  <si>
    <t>PIRITUBA - JARAGUA</t>
  </si>
  <si>
    <t>Sandro Luiz Coelho</t>
  </si>
  <si>
    <t>3904-1444</t>
  </si>
  <si>
    <t>99388-4488</t>
  </si>
  <si>
    <t>BP-3-45/IJ</t>
  </si>
  <si>
    <t>BM45</t>
  </si>
  <si>
    <t>Biblioteca Camila Cerqueira César</t>
  </si>
  <si>
    <t>R. Waldemar Sanches, 41</t>
  </si>
  <si>
    <t>05589-050</t>
  </si>
  <si>
    <t>Butantã</t>
  </si>
  <si>
    <t>BUTANTÃ</t>
  </si>
  <si>
    <t>Alessandra Atti</t>
  </si>
  <si>
    <t>3731-5210</t>
  </si>
  <si>
    <t>98603-5708</t>
  </si>
  <si>
    <t>BP-3-02</t>
  </si>
  <si>
    <t>BM02</t>
  </si>
  <si>
    <t>Biblioteca Cassiano Ricardo</t>
  </si>
  <si>
    <t>Av. Celso Garcia, 4200</t>
  </si>
  <si>
    <t>03064-000</t>
  </si>
  <si>
    <t>Elisamara Nascimento Pastana</t>
  </si>
  <si>
    <t xml:space="preserve">2092-4570 </t>
  </si>
  <si>
    <t>95920-1158</t>
  </si>
  <si>
    <t>BP-3-46/IJ</t>
  </si>
  <si>
    <t>BM46</t>
  </si>
  <si>
    <t>Biblioteca Castro Alves</t>
  </si>
  <si>
    <t>R. Abrahão Mussa, s/nº.</t>
  </si>
  <si>
    <t>04256-190</t>
  </si>
  <si>
    <t>Jd. Patente</t>
  </si>
  <si>
    <t xml:space="preserve">Camila Vieira Braido </t>
  </si>
  <si>
    <t>2946-4562</t>
  </si>
  <si>
    <t>99250-7249</t>
  </si>
  <si>
    <t xml:space="preserve">Fechada </t>
  </si>
  <si>
    <t>BP-3-15/IJ</t>
  </si>
  <si>
    <t>BM15</t>
  </si>
  <si>
    <t>Biblioteca Chácara do Castelo</t>
  </si>
  <si>
    <t>R. Brás Lourenço, 333</t>
  </si>
  <si>
    <t>04113-110</t>
  </si>
  <si>
    <t>Jd. da Glória</t>
  </si>
  <si>
    <t>VILA MARIANA</t>
  </si>
  <si>
    <t>Juliana da Silva Santiago²</t>
  </si>
  <si>
    <t>5573-4929</t>
  </si>
  <si>
    <t>97543-3158</t>
  </si>
  <si>
    <t>BP-3-16/IJ</t>
  </si>
  <si>
    <t>BM16</t>
  </si>
  <si>
    <t>Biblioteca Clarice Lispector</t>
  </si>
  <si>
    <t>R. Jaricunas, 458</t>
  </si>
  <si>
    <t>05053-070</t>
  </si>
  <si>
    <t>Siciliano</t>
  </si>
  <si>
    <t>LAPA</t>
  </si>
  <si>
    <t>Márcia de Oliveira Lopes</t>
  </si>
  <si>
    <t>3672-1423</t>
  </si>
  <si>
    <t>96422-0211</t>
  </si>
  <si>
    <t>BP-3-29/IJ</t>
  </si>
  <si>
    <t>BM29</t>
  </si>
  <si>
    <t>Biblioteca Cora Coralina</t>
  </si>
  <si>
    <t>R. Otelo Augusto Ribeiro, 113</t>
  </si>
  <si>
    <t>06436-140</t>
  </si>
  <si>
    <t>Guaianazes</t>
  </si>
  <si>
    <t>GUAIANAZES</t>
  </si>
  <si>
    <t>Maria Carolina de Souza Novaes</t>
  </si>
  <si>
    <t>2557-8004</t>
  </si>
  <si>
    <t>97557-4992</t>
  </si>
  <si>
    <t>BP-3-03/IJ</t>
  </si>
  <si>
    <t>BM03</t>
  </si>
  <si>
    <t>Biblioteca Érico Veríssimo</t>
  </si>
  <si>
    <t>R. Diógenes Dourado, 101</t>
  </si>
  <si>
    <t>02815-060</t>
  </si>
  <si>
    <t>Cohab de Taipas</t>
  </si>
  <si>
    <t>Denize Alves da Silva</t>
  </si>
  <si>
    <t>3972-0450</t>
  </si>
  <si>
    <t>98538-2997</t>
  </si>
  <si>
    <t>BP-3-43</t>
  </si>
  <si>
    <t>BM43</t>
  </si>
  <si>
    <t>Biblioteca Gilberto Freyre</t>
  </si>
  <si>
    <t>R. José Joaquim, 290</t>
  </si>
  <si>
    <t>Sapopemba</t>
  </si>
  <si>
    <t>SAPOPEMBA</t>
  </si>
  <si>
    <t xml:space="preserve">Raquel da Silva Vianna de Andrade </t>
  </si>
  <si>
    <t>2143-1811</t>
  </si>
  <si>
    <t>96533-5440</t>
  </si>
  <si>
    <t>BP-3-04/IJ</t>
  </si>
  <si>
    <t>BM04</t>
  </si>
  <si>
    <t>Biblioteca Hans Christian Andersen</t>
  </si>
  <si>
    <t>Av. Celso Garcia, 4142</t>
  </si>
  <si>
    <t>Elisangela Alves Silva</t>
  </si>
  <si>
    <t>2295-3447</t>
  </si>
  <si>
    <t>99853-1833</t>
  </si>
  <si>
    <t>BP-3-44</t>
  </si>
  <si>
    <t>BM44</t>
  </si>
  <si>
    <t>Biblioteca Helena Silveira</t>
  </si>
  <si>
    <t>R. Jose Viriato de Castro, 78</t>
  </si>
  <si>
    <t>05576-100</t>
  </si>
  <si>
    <t>Campo Limpo</t>
  </si>
  <si>
    <t>CAMPO LIMPO</t>
  </si>
  <si>
    <t>Paula Danielle de Andrade Bueno</t>
  </si>
  <si>
    <t>5841-1259</t>
  </si>
  <si>
    <t>99290-9467</t>
  </si>
  <si>
    <t>BP-3-50</t>
  </si>
  <si>
    <t>BM50</t>
  </si>
  <si>
    <t>Biblioteca Jamil Almansur Haddad</t>
  </si>
  <si>
    <t>R. Andes, 491-A</t>
  </si>
  <si>
    <t>03178-200</t>
  </si>
  <si>
    <t>Benedita Valdirene Ribeiro</t>
  </si>
  <si>
    <t>2557-0067</t>
  </si>
  <si>
    <t>99563-7090</t>
  </si>
  <si>
    <t>CCJ</t>
  </si>
  <si>
    <t>Biblioteca Jayme Cortez</t>
  </si>
  <si>
    <t>Av. Dep. Emílio Carlos, 3641</t>
  </si>
  <si>
    <t>02721-200</t>
  </si>
  <si>
    <t>Limão</t>
  </si>
  <si>
    <t>CASA VERDE - CACHOEIRINHA</t>
  </si>
  <si>
    <t>Luciana Santoni</t>
  </si>
  <si>
    <t>3343-8958</t>
  </si>
  <si>
    <t>98785-5187</t>
  </si>
  <si>
    <t>BP-3-51/IJ</t>
  </si>
  <si>
    <t>BM51</t>
  </si>
  <si>
    <t>Biblioteca José Mauro de Vasconcelos</t>
  </si>
  <si>
    <t>Pça. Com. Eduardo Oliveira, 100</t>
  </si>
  <si>
    <t>02233-060</t>
  </si>
  <si>
    <t>Pq.Edu Chaves</t>
  </si>
  <si>
    <t>JAÇANÃ - TREMEMBÉ</t>
  </si>
  <si>
    <t>Sandra Cristina Brasil Silva</t>
  </si>
  <si>
    <t>2242-8196</t>
  </si>
  <si>
    <t>97127-2574</t>
  </si>
  <si>
    <t>BP-3-32</t>
  </si>
  <si>
    <t>BM32</t>
  </si>
  <si>
    <t>Biblioteca José Paulo Paes</t>
  </si>
  <si>
    <t>Largo do Rosário, 20</t>
  </si>
  <si>
    <t>03632-030</t>
  </si>
  <si>
    <t>Penha</t>
  </si>
  <si>
    <t>PENHA</t>
  </si>
  <si>
    <t>João Gilberto Franco Cândido Monteiro</t>
  </si>
  <si>
    <t xml:space="preserve"> 2091-3944 / 2227-1170</t>
  </si>
  <si>
    <t>96276-4256</t>
  </si>
  <si>
    <t>BP-3-37/IJ</t>
  </si>
  <si>
    <t>BM37</t>
  </si>
  <si>
    <t>Biblioteca Jovina Rocha Álvares Pessoa</t>
  </si>
  <si>
    <t>Av. Padre Francisco de Toledo, 331</t>
  </si>
  <si>
    <t>03590-120</t>
  </si>
  <si>
    <t>Artur Alvim</t>
  </si>
  <si>
    <t>Jussara Oda</t>
  </si>
  <si>
    <t xml:space="preserve">2741-0371  </t>
  </si>
  <si>
    <t>97331-3366</t>
  </si>
  <si>
    <t>BP-3-17/IJ</t>
  </si>
  <si>
    <t>BM17</t>
  </si>
  <si>
    <t>Biblioteca Lenyra Fraccaroli</t>
  </si>
  <si>
    <t>Pça. Haroldo Daltro, 451</t>
  </si>
  <si>
    <t>03444-090</t>
  </si>
  <si>
    <t>Vila Nova Manchester</t>
  </si>
  <si>
    <t>ARICANDUVA - CARRÃO- FORMOSA</t>
  </si>
  <si>
    <t xml:space="preserve">Cleo da Silva Lima </t>
  </si>
  <si>
    <t>2295-2295</t>
  </si>
  <si>
    <t>98765-1676</t>
  </si>
  <si>
    <t>BP-3-42/IJ</t>
  </si>
  <si>
    <t>BM42</t>
  </si>
  <si>
    <t>Biblioteca Malba Tahan</t>
  </si>
  <si>
    <t>R. Brás Pires Meira, 100</t>
  </si>
  <si>
    <t>04784-150</t>
  </si>
  <si>
    <t>Veleiros</t>
  </si>
  <si>
    <t>CAPELA DO SOCORRO</t>
  </si>
  <si>
    <t xml:space="preserve">Andréa Santos Regis </t>
  </si>
  <si>
    <t>5523-4556</t>
  </si>
  <si>
    <t xml:space="preserve"> 99228-7079</t>
  </si>
  <si>
    <t>BP-3-38/IJ</t>
  </si>
  <si>
    <t>BM38</t>
  </si>
  <si>
    <t>Biblioteca Marcos Rey</t>
  </si>
  <si>
    <t>Av. Anacê, 92</t>
  </si>
  <si>
    <t>05755-090</t>
  </si>
  <si>
    <t>Jardim Umarizal</t>
  </si>
  <si>
    <t>Marli Fumi Haseyama Goto</t>
  </si>
  <si>
    <t>5845-2572</t>
  </si>
  <si>
    <t>99971-2991</t>
  </si>
  <si>
    <t>BP-3-08</t>
  </si>
  <si>
    <t>BM08</t>
  </si>
  <si>
    <t>Biblioteca Mário Schenberg</t>
  </si>
  <si>
    <t>R. Catão, 611</t>
  </si>
  <si>
    <t>05049-000</t>
  </si>
  <si>
    <t>Vila Romana</t>
  </si>
  <si>
    <t>Sueli Ribeiro da Silva</t>
  </si>
  <si>
    <t>3672-0456</t>
  </si>
  <si>
    <t>99128-5919</t>
  </si>
  <si>
    <t>BP-3-52/IJ</t>
  </si>
  <si>
    <t>BM52</t>
  </si>
  <si>
    <t>Biblioteca Menotti Del Picchia</t>
  </si>
  <si>
    <t>R. São Romualdo, 382</t>
  </si>
  <si>
    <t>02557-060</t>
  </si>
  <si>
    <t>Melina Isabel Campanini</t>
  </si>
  <si>
    <t>3966-4814</t>
  </si>
  <si>
    <t>95101-5611</t>
  </si>
  <si>
    <t>BP-3-54</t>
  </si>
  <si>
    <t>BM54</t>
  </si>
  <si>
    <t>Biblioteca Milton Santos</t>
  </si>
  <si>
    <t>AV. Aricanduva, 5777</t>
  </si>
  <si>
    <t>03527-000</t>
  </si>
  <si>
    <t>Aricanduva</t>
  </si>
  <si>
    <t>Maria de Lourdes da Silva Ferreira</t>
  </si>
  <si>
    <t>2726-4882</t>
  </si>
  <si>
    <t>97127-7806</t>
  </si>
  <si>
    <t>SMB-5</t>
  </si>
  <si>
    <t>BML</t>
  </si>
  <si>
    <t>Biblioteca Monteiro Lobato</t>
  </si>
  <si>
    <t>R. Ganeral Jardim, 485</t>
  </si>
  <si>
    <t>01223-011</t>
  </si>
  <si>
    <t>V. Buarque</t>
  </si>
  <si>
    <t>SÉ</t>
  </si>
  <si>
    <t>CENTRO</t>
  </si>
  <si>
    <t xml:space="preserve">Marta Nosé Ferreira </t>
  </si>
  <si>
    <t xml:space="preserve">3256-4122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</si>
  <si>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99477-3113</t>
  </si>
  <si>
    <t>BP-3-09/IJ</t>
  </si>
  <si>
    <t>BM09</t>
  </si>
  <si>
    <t>Biblioteca Narbal Fontes</t>
  </si>
  <si>
    <t>Rua Cons. Moreira de Barros, 170</t>
  </si>
  <si>
    <t>02044-080</t>
  </si>
  <si>
    <t>Santana</t>
  </si>
  <si>
    <t xml:space="preserve">SANTANA - TUCURUVI </t>
  </si>
  <si>
    <t>Raquel Beatriz da Conceição</t>
  </si>
  <si>
    <t>2973-4461</t>
  </si>
  <si>
    <t>97762-8952</t>
  </si>
  <si>
    <t>BP-3-21</t>
  </si>
  <si>
    <t>BM21</t>
  </si>
  <si>
    <t>Biblioteca Nuto Sant'Anna</t>
  </si>
  <si>
    <t>Pça. Tenório Aguiar, 32</t>
  </si>
  <si>
    <r>
      <rPr>
        <sz val="10"/>
        <color rgb="FF222222"/>
        <rFont val="Google Sans Mono"/>
      </rPr>
      <t>SANTANA - TUCURUVI</t>
    </r>
    <r>
      <rPr>
        <sz val="10"/>
        <color rgb="FF222222"/>
        <rFont val="Google Sans Mono"/>
      </rPr>
      <t xml:space="preserve"> </t>
    </r>
  </si>
  <si>
    <t>Katianne Pereira da Silva e Silva</t>
  </si>
  <si>
    <t>2973-0072</t>
  </si>
  <si>
    <t>96067-5912</t>
  </si>
  <si>
    <t>BP-3-30/IJ</t>
  </si>
  <si>
    <t>BM30</t>
  </si>
  <si>
    <t>Biblioteca Padre José de Anchieta</t>
  </si>
  <si>
    <t>R. Antonio Maia, 651</t>
  </si>
  <si>
    <t>05204-000</t>
  </si>
  <si>
    <t>Perus</t>
  </si>
  <si>
    <t>PERUS</t>
  </si>
  <si>
    <t>Maria Elizabeth Caldellas Pedrosa</t>
  </si>
  <si>
    <t>3917-0751</t>
  </si>
  <si>
    <t>99933-2380</t>
  </si>
  <si>
    <t>BP-3-34</t>
  </si>
  <si>
    <t>BM34</t>
  </si>
  <si>
    <t>Biblioteca Paulo Duarte</t>
  </si>
  <si>
    <t>R. Arsênio Tavollieri, 45</t>
  </si>
  <si>
    <t>04321-030</t>
  </si>
  <si>
    <t>Jabaquara</t>
  </si>
  <si>
    <t>JABAQUARA</t>
  </si>
  <si>
    <t xml:space="preserve"> 5011-7445</t>
  </si>
  <si>
    <t>99469-4744</t>
  </si>
  <si>
    <t>BP-3-19/IJ</t>
  </si>
  <si>
    <t>BM19</t>
  </si>
  <si>
    <t>Biblioteca Paulo Sérgio Duarte Milliet</t>
  </si>
  <si>
    <t>Pça. Ituzaingó, s/nº.</t>
  </si>
  <si>
    <t>03334-020</t>
  </si>
  <si>
    <t>Angélica Inês Azevedo Albertini</t>
  </si>
  <si>
    <t>2671-4974</t>
  </si>
  <si>
    <t>97417-6665</t>
  </si>
  <si>
    <t>BP-3-28</t>
  </si>
  <si>
    <t>BM28</t>
  </si>
  <si>
    <t>Biblioteca Paulo Setúbal</t>
  </si>
  <si>
    <t>Av. Renata, 163</t>
  </si>
  <si>
    <t>03377-000</t>
  </si>
  <si>
    <t>Vila Formosa</t>
  </si>
  <si>
    <t>2211-1508</t>
  </si>
  <si>
    <t>BP-3-47</t>
  </si>
  <si>
    <t>BM47</t>
  </si>
  <si>
    <t>Biblioteca Pedro Nava</t>
  </si>
  <si>
    <t>Rua Eng. Caetanos Alvares, 5903</t>
  </si>
  <si>
    <t>02433-000</t>
  </si>
  <si>
    <t>Mandaqui</t>
  </si>
  <si>
    <t>Thais da Silva Farias</t>
  </si>
  <si>
    <t>2973-7293</t>
  </si>
  <si>
    <t>96711-7027</t>
  </si>
  <si>
    <t>BP-3-25</t>
  </si>
  <si>
    <t>BM25</t>
  </si>
  <si>
    <t>Biblioteca Prefeito Prestes Maia</t>
  </si>
  <si>
    <t>Av. João Dias, 822</t>
  </si>
  <si>
    <t>04724-001</t>
  </si>
  <si>
    <t xml:space="preserve">Gustavo Biscaino Remério </t>
  </si>
  <si>
    <t>5687-0513</t>
  </si>
  <si>
    <t>98642-7755</t>
  </si>
  <si>
    <t>BP-3-35</t>
  </si>
  <si>
    <t>BM35</t>
  </si>
  <si>
    <t>Biblioteca Raimundo de Menezes</t>
  </si>
  <si>
    <t>Av. Nordestina, 780</t>
  </si>
  <si>
    <t>08021-000</t>
  </si>
  <si>
    <t>São Miguel Paulista</t>
  </si>
  <si>
    <t>SÃO MIGUEL</t>
  </si>
  <si>
    <t>Cicera Cleide Mascarenhas Santana</t>
  </si>
  <si>
    <t>2297-4053</t>
  </si>
  <si>
    <t>98719-7599</t>
  </si>
  <si>
    <t>BP-3-22/IJ</t>
  </si>
  <si>
    <t>BM22</t>
  </si>
  <si>
    <t>Biblioteca Raul Bopp</t>
  </si>
  <si>
    <t>R. Muniz de Sousa, 1155</t>
  </si>
  <si>
    <t>01534-001</t>
  </si>
  <si>
    <t>Aclimação</t>
  </si>
  <si>
    <t xml:space="preserve">VL MARIANA </t>
  </si>
  <si>
    <t>Charlene Kathlen de Lemos</t>
  </si>
  <si>
    <t>3208-1895</t>
  </si>
  <si>
    <t>97492-6647</t>
  </si>
  <si>
    <t>BP-3-20/IJ</t>
  </si>
  <si>
    <t>BM20</t>
  </si>
  <si>
    <t>Biblioteca Ricardo Ramos</t>
  </si>
  <si>
    <t>Pça. Centenário de Vila Prudente, 25</t>
  </si>
  <si>
    <t>03132-050</t>
  </si>
  <si>
    <t>Vila Prudente</t>
  </si>
  <si>
    <t>Cristiana Dias de Carvalho</t>
  </si>
  <si>
    <t>2273-4860</t>
  </si>
  <si>
    <t>98127-6492</t>
  </si>
  <si>
    <t>BP-3-07</t>
  </si>
  <si>
    <t>BM07</t>
  </si>
  <si>
    <t>Biblioteca Roberto Santos</t>
  </si>
  <si>
    <t>R. Cisplatina, 505</t>
  </si>
  <si>
    <t>04211-040</t>
  </si>
  <si>
    <t>Ipiranga</t>
  </si>
  <si>
    <t>Tatiana Rodrigues Nascimento</t>
  </si>
  <si>
    <t>2273-2390</t>
  </si>
  <si>
    <t>99399-9848</t>
  </si>
  <si>
    <t>BP-3-49</t>
  </si>
  <si>
    <t>BM49</t>
  </si>
  <si>
    <t>Biblioteca Rubens Borba Alves de Morais</t>
  </si>
  <si>
    <t>R. Sampei Sato, 440</t>
  </si>
  <si>
    <t>03814-000</t>
  </si>
  <si>
    <t>Ermelino Matarazzo</t>
  </si>
  <si>
    <t>EMERLINO MATARAZZO</t>
  </si>
  <si>
    <t xml:space="preserve">Alice Setsuko Haro Akata </t>
  </si>
  <si>
    <t>2943-5255</t>
  </si>
  <si>
    <t>98151-1398</t>
  </si>
  <si>
    <t>BP-3-36</t>
  </si>
  <si>
    <t>BM36</t>
  </si>
  <si>
    <t>Biblioteca Sergio Buarque de Holanda</t>
  </si>
  <si>
    <t>R. Vitório Santim, 44</t>
  </si>
  <si>
    <t>08290-000</t>
  </si>
  <si>
    <t>Itaquera</t>
  </si>
  <si>
    <t>ITAQUERA</t>
  </si>
  <si>
    <t xml:space="preserve">Aurea dos Santos </t>
  </si>
  <si>
    <t>2205-7406</t>
  </si>
  <si>
    <t>95920-1346</t>
  </si>
  <si>
    <t>BP-3-39/IJ</t>
  </si>
  <si>
    <t>BM39</t>
  </si>
  <si>
    <t>Biblioteca Sylvia Orthof</t>
  </si>
  <si>
    <t>Av. Tucuruvi, 808</t>
  </si>
  <si>
    <t>02204-000</t>
  </si>
  <si>
    <t>Tucuruvi</t>
  </si>
  <si>
    <t>Domitila Alves de Oliveira Vila Nova</t>
  </si>
  <si>
    <t>2981-6263</t>
  </si>
  <si>
    <t>96440-9933</t>
  </si>
  <si>
    <t>BP-3-26/IJ</t>
  </si>
  <si>
    <t>BM26</t>
  </si>
  <si>
    <t>Biblioteca Thales Castanho de Andrade</t>
  </si>
  <si>
    <t>R. Dr. Artur Fajardo, 447</t>
  </si>
  <si>
    <t>02963-000</t>
  </si>
  <si>
    <t>FREGUESIA - BRASILANDIA</t>
  </si>
  <si>
    <t>Maria Betania Ferreira</t>
  </si>
  <si>
    <t>3975-7439</t>
  </si>
  <si>
    <t>99784-7311</t>
  </si>
  <si>
    <t>BP-3-40</t>
  </si>
  <si>
    <t>BM40</t>
  </si>
  <si>
    <t>Biblioteca Vicente de Carvalho</t>
  </si>
  <si>
    <t>R. Guilherme Valência, 210</t>
  </si>
  <si>
    <t>08253-280</t>
  </si>
  <si>
    <t>Conj. José Bonifácio</t>
  </si>
  <si>
    <t>Hugo Leonardo Abud²</t>
  </si>
  <si>
    <t>2521-0553</t>
  </si>
  <si>
    <t>(12) 99648-0591</t>
  </si>
  <si>
    <t>BP-3-48/IJ</t>
  </si>
  <si>
    <t>BM48</t>
  </si>
  <si>
    <t>Biblioteca Vicente Paulo Guimarães</t>
  </si>
  <si>
    <t>R. Jaguar, 225</t>
  </si>
  <si>
    <t>08030-460</t>
  </si>
  <si>
    <t>V. Curuçá</t>
  </si>
  <si>
    <t>Jair Vespasiano Dantas</t>
  </si>
  <si>
    <t>2035-5322</t>
  </si>
  <si>
    <t>94940-2153</t>
  </si>
  <si>
    <t>BP-3-41/IJ</t>
  </si>
  <si>
    <t>BM41</t>
  </si>
  <si>
    <t>Biblioteca Vinícius de Morais</t>
  </si>
  <si>
    <t>Av. Jardim Tamoio, 1119</t>
  </si>
  <si>
    <t>08255-010</t>
  </si>
  <si>
    <t>Conj José Bonifácio</t>
  </si>
  <si>
    <t>Claudia Rodrigues Lecinio Viana Barreto</t>
  </si>
  <si>
    <t>2521-6914</t>
  </si>
  <si>
    <t xml:space="preserve"> 98507-7878</t>
  </si>
  <si>
    <t>BP-3-05/IJ</t>
  </si>
  <si>
    <t>BM05</t>
  </si>
  <si>
    <t>Biblioteca Viriato Corrêa</t>
  </si>
  <si>
    <t>R. Sena Madureira, 298</t>
  </si>
  <si>
    <t>04021-050</t>
  </si>
  <si>
    <t>V. Mariana</t>
  </si>
  <si>
    <t>V MARIANA</t>
  </si>
  <si>
    <t>Sandra Machado Alves</t>
  </si>
  <si>
    <t>5573-4017</t>
  </si>
  <si>
    <t>99747-9831</t>
  </si>
  <si>
    <t>PL01</t>
  </si>
  <si>
    <t>André Vital</t>
  </si>
  <si>
    <t>Avenida dos Metalúrgicos, 2255</t>
  </si>
  <si>
    <t>08471-002</t>
  </si>
  <si>
    <t>Cidade Tiradentes</t>
  </si>
  <si>
    <t>PL02</t>
  </si>
  <si>
    <t>Juscelino Kubitschek</t>
  </si>
  <si>
    <t>Rua Inácio Monteiro, 55</t>
  </si>
  <si>
    <t>08470-000</t>
  </si>
  <si>
    <t>Patrick Wender Rodrigues Malta</t>
  </si>
  <si>
    <t>2556-3036</t>
  </si>
  <si>
    <t>PL03</t>
  </si>
  <si>
    <t>Parque Vila do Rodeio</t>
  </si>
  <si>
    <t>Rua Igarapé da Bela Aurora, 342</t>
  </si>
  <si>
    <t>08472-200</t>
  </si>
  <si>
    <t>Cj Hab Inácio Monteiro</t>
  </si>
  <si>
    <t>PL04</t>
  </si>
  <si>
    <t>Vila Mara</t>
  </si>
  <si>
    <t>Rua Conceição do Almeida, 170</t>
  </si>
  <si>
    <t>08081-370</t>
  </si>
  <si>
    <t>Parque Paulistano</t>
  </si>
  <si>
    <t>PL05</t>
  </si>
  <si>
    <t>União dos Moradores do Parque Anhanguera</t>
  </si>
  <si>
    <t>Rua Amadeu Caego Monteiro, 209</t>
  </si>
  <si>
    <t>05271-250</t>
  </si>
  <si>
    <t>Parque Anhanguera</t>
  </si>
  <si>
    <t>PL06</t>
  </si>
  <si>
    <t>Praça do Bambuzal</t>
  </si>
  <si>
    <t>Rua da Colônia Nova, 110</t>
  </si>
  <si>
    <t>05871-270</t>
  </si>
  <si>
    <t>Jd São Manoel</t>
  </si>
  <si>
    <t>M'Boi Mirim</t>
  </si>
  <si>
    <t>Reginaldo</t>
  </si>
  <si>
    <t>5833-3567</t>
  </si>
  <si>
    <t>PL07</t>
  </si>
  <si>
    <t>Carolina Maria de Jesus</t>
  </si>
  <si>
    <t>Rua Teresinha Prado de Oliveira, 119</t>
  </si>
  <si>
    <t>04890-630</t>
  </si>
  <si>
    <t>Jd Novo Parelheiros</t>
  </si>
  <si>
    <t>Parelheiros</t>
  </si>
  <si>
    <t>PL08</t>
  </si>
  <si>
    <t>Olido</t>
  </si>
  <si>
    <t>Avenida São João, 473</t>
  </si>
  <si>
    <t>01035-000</t>
  </si>
  <si>
    <t>Centro</t>
  </si>
  <si>
    <t>Sé</t>
  </si>
  <si>
    <t>PL09</t>
  </si>
  <si>
    <t>Graciliano Ramos</t>
  </si>
  <si>
    <t>Rua Professor Oscar Barreto Filho, 252</t>
  </si>
  <si>
    <t>04822-230</t>
  </si>
  <si>
    <t>Parque América</t>
  </si>
  <si>
    <t>Capela do Socorro</t>
  </si>
  <si>
    <t>Daniel</t>
  </si>
  <si>
    <t>5924-9135</t>
  </si>
  <si>
    <t>PL10</t>
  </si>
  <si>
    <t>Jardim Lapenna</t>
  </si>
  <si>
    <t>Rua Serra da Juruoca, 112</t>
  </si>
  <si>
    <t>08071-180</t>
  </si>
  <si>
    <t>Jd Lapenna</t>
  </si>
  <si>
    <t>Antônia Marlucia Gomes</t>
  </si>
  <si>
    <t>2956-0091</t>
  </si>
  <si>
    <t>PL11</t>
  </si>
  <si>
    <t>Tide Setúbal</t>
  </si>
  <si>
    <t>Rua Mário Dallari, 170</t>
  </si>
  <si>
    <t>08021-580</t>
  </si>
  <si>
    <t>Jd São Vicente</t>
  </si>
  <si>
    <t>PL12</t>
  </si>
  <si>
    <t>Parque do Piqueri</t>
  </si>
  <si>
    <t>Rua Tuiuti, 515</t>
  </si>
  <si>
    <t>03081-003</t>
  </si>
  <si>
    <t>Mooca</t>
  </si>
  <si>
    <t>2092-6524</t>
  </si>
  <si>
    <t>PL13</t>
  </si>
  <si>
    <t>Junta Mizumoto, 13</t>
  </si>
  <si>
    <t>05537-070</t>
  </si>
  <si>
    <t>Jd Peri Peri</t>
  </si>
  <si>
    <t>Danilo</t>
  </si>
  <si>
    <t>3742-6218</t>
  </si>
  <si>
    <t>PL14</t>
  </si>
  <si>
    <t>Parque São Rafael</t>
  </si>
  <si>
    <t>Rua Fortaleza de Itapema, 268</t>
  </si>
  <si>
    <t>08331-240</t>
  </si>
  <si>
    <t>São Mateus</t>
  </si>
  <si>
    <t>PL15</t>
  </si>
  <si>
    <t>Chácara do Jockey</t>
  </si>
  <si>
    <t>Rua Santa Crescência, 191</t>
  </si>
  <si>
    <t>05524-020</t>
  </si>
  <si>
    <t>Ferreira</t>
  </si>
  <si>
    <t>PL16</t>
  </si>
  <si>
    <t>Severino do Ramo</t>
  </si>
  <si>
    <t>Estrada Dom João Neri, 3551</t>
  </si>
  <si>
    <t>08151-000</t>
  </si>
  <si>
    <t>Jardim Bartira</t>
  </si>
  <si>
    <t>Itaim Paulista</t>
  </si>
  <si>
    <t>Selma Aparecida Rocha</t>
  </si>
  <si>
    <t>2963-2742/2568-3329</t>
  </si>
  <si>
    <t>CineQuebrada</t>
  </si>
  <si>
    <t>Rua Floriano Arresti, 52</t>
  </si>
  <si>
    <t>08465-220</t>
  </si>
  <si>
    <t>Cj Hbt Juscelino Kubitschek</t>
  </si>
  <si>
    <t>Guaianases</t>
  </si>
  <si>
    <t>Rua Aba, 23 (Cj. Hab. Baltazar Cisneiro)</t>
  </si>
  <si>
    <t>08430-853</t>
  </si>
  <si>
    <t>Jardim Moreno</t>
  </si>
  <si>
    <t>dasd</t>
  </si>
  <si>
    <t>SMB06</t>
  </si>
  <si>
    <t>CSMB</t>
  </si>
  <si>
    <t>SMB-111</t>
  </si>
  <si>
    <t>CSMB &gt; Aquisição</t>
  </si>
  <si>
    <t>05049-001</t>
  </si>
  <si>
    <t>SMB-116</t>
  </si>
  <si>
    <t>CSMB &gt; Catalogação</t>
  </si>
  <si>
    <t>05049-002</t>
  </si>
  <si>
    <t>SMB-313</t>
  </si>
  <si>
    <t>CSMB &gt; Coordenadoria Regional</t>
  </si>
  <si>
    <t>05049-003</t>
  </si>
  <si>
    <t>SMB-102</t>
  </si>
  <si>
    <t>CSMB &gt; Expedição</t>
  </si>
  <si>
    <t>05049-004</t>
  </si>
  <si>
    <t>SMB-G</t>
  </si>
  <si>
    <t>CSMB &gt; Gabinete</t>
  </si>
  <si>
    <t>05049-005</t>
  </si>
  <si>
    <t>SMB-215</t>
  </si>
  <si>
    <t>CSMB &gt; Informática</t>
  </si>
  <si>
    <t>05049-006</t>
  </si>
  <si>
    <t>SMB01</t>
  </si>
  <si>
    <t>CSMB &gt; Planejamento</t>
  </si>
  <si>
    <t>05049-007</t>
  </si>
  <si>
    <t>SMB02</t>
  </si>
  <si>
    <t>CSMB &gt; Programas e Projetos</t>
  </si>
  <si>
    <t>05049-008</t>
  </si>
  <si>
    <t>SMB03</t>
  </si>
  <si>
    <t>CSMB &gt; Protocolo</t>
  </si>
  <si>
    <t>05049-009</t>
  </si>
  <si>
    <t>SMB04</t>
  </si>
  <si>
    <t>CSMB &gt; SCT</t>
  </si>
  <si>
    <t>05049-010</t>
  </si>
  <si>
    <t>SMB05</t>
  </si>
  <si>
    <t>CSMB &gt; Supervisão</t>
  </si>
  <si>
    <t>05049-011</t>
  </si>
  <si>
    <t>Localidades</t>
  </si>
  <si>
    <t>Horário de Funcionamento</t>
  </si>
  <si>
    <t>Status</t>
  </si>
  <si>
    <t>Ponto de Leitura Parque do Carmo</t>
  </si>
  <si>
    <t>Av. Afonso de Sampaio Souza, 951</t>
  </si>
  <si>
    <t>08270-000</t>
  </si>
  <si>
    <t>2ª e 6ª feira das 10h às 19h, sábado das 10h às 14h, fechada aos domingos.</t>
  </si>
  <si>
    <t>Aberto</t>
  </si>
  <si>
    <t>Ponto de Leitura Chácara do Jockey </t>
  </si>
  <si>
    <t>2ª e 6ª feira das 8h às 17h, sábado das 9h às 16h, fechada aos domingos.</t>
  </si>
  <si>
    <t>Ponto de Leitura Severino do Ramo </t>
  </si>
  <si>
    <t>Ponto de Leitura Parque Vila do Rodeio  </t>
  </si>
  <si>
    <t>Cj Habitacional Inácio Monteiro</t>
  </si>
  <si>
    <t>Inauguração</t>
  </si>
  <si>
    <t>Ponto de Leitura Parque Raposo Tavares</t>
  </si>
  <si>
    <t>Rua Telmo Coelho Filho, 200</t>
  </si>
  <si>
    <t>Vila Albano</t>
  </si>
  <si>
    <t>05543-020</t>
  </si>
  <si>
    <t>2ª e 6ª feira das 10h às 19h, sábado das 10h às 16h, fechada aos domingos.</t>
  </si>
  <si>
    <t>Bosque Lions Tucuruvi</t>
  </si>
  <si>
    <t>Rua Alcindo Bueno de Assis, 500</t>
  </si>
  <si>
    <t>0244-080</t>
  </si>
  <si>
    <t>2ª e 6ª feira das 8h às 17h, sábado e domingo das 10h às 14h.</t>
  </si>
  <si>
    <t>Ponto de Leitura Jardim Lapenna </t>
  </si>
  <si>
    <t>Ponto de Leitura Juscelino Kubitschek </t>
  </si>
  <si>
    <t>Ponto de Leitura Praça do Bambuzal </t>
  </si>
  <si>
    <t>Jardim São Manoel</t>
  </si>
  <si>
    <t>Ponto de Leitura Parque do Piqueri   </t>
  </si>
  <si>
    <t>Column19</t>
  </si>
  <si>
    <t>Column20</t>
  </si>
  <si>
    <t>Column21</t>
  </si>
  <si>
    <t>Column22</t>
  </si>
  <si>
    <t>Column23</t>
  </si>
  <si>
    <t>Coluna24</t>
  </si>
  <si>
    <t/>
  </si>
  <si>
    <t>Adelpha Figueiredo</t>
  </si>
  <si>
    <t>BIBLIOTECA</t>
  </si>
  <si>
    <t>FUNCIONÁRIOS QUE NÃO FAZEM ATENDIMENTO</t>
  </si>
  <si>
    <t>FUNCIONÁRIOS NO ATENDIMENTO</t>
  </si>
  <si>
    <t>VIGILANCIA TERCEIRIZADA (POSTOS)</t>
  </si>
  <si>
    <t>ATENDENTE(POSTOS)</t>
  </si>
  <si>
    <t>LIMPEZA TERCEIRIZADA</t>
  </si>
  <si>
    <t>Afonso Taunay</t>
  </si>
  <si>
    <t xml:space="preserve">Meire Rose Stankevicius Bassi </t>
  </si>
  <si>
    <t>Antonio José dos Santos</t>
  </si>
  <si>
    <t>Afonso Schmidt</t>
  </si>
  <si>
    <t>Alceu Amoroso Lima</t>
  </si>
  <si>
    <t>922672-9</t>
  </si>
  <si>
    <t>Wander Samuel de Oliveira</t>
  </si>
  <si>
    <t>Álvares de Azevedo</t>
  </si>
  <si>
    <t>Osana Maria Cândido</t>
  </si>
  <si>
    <t>Álvaro Guerra</t>
  </si>
  <si>
    <t>Amadeu Amaral</t>
  </si>
  <si>
    <t>LESTE</t>
  </si>
  <si>
    <t>Rosa Aparecida Bin Oliveira</t>
  </si>
  <si>
    <t>Anne Frank</t>
  </si>
  <si>
    <t>Aureliano Leite</t>
  </si>
  <si>
    <t xml:space="preserve">Bruna Berllini Pereira    </t>
  </si>
  <si>
    <t>Belmonte</t>
  </si>
  <si>
    <t>Andreia Regina Vieira Passos</t>
  </si>
  <si>
    <t>Brito Broca</t>
  </si>
  <si>
    <t>Tania Cristina Santaella</t>
  </si>
  <si>
    <t>Camila Cerqueira César</t>
  </si>
  <si>
    <t>Cassiano Ricardo</t>
  </si>
  <si>
    <t>FREQUESIA DO Ó/ BRASILÂNDIA</t>
  </si>
  <si>
    <t>FREQUESIA DO Ó</t>
  </si>
  <si>
    <t>CRUZ DAS ALMAS</t>
  </si>
  <si>
    <t>NORTE</t>
  </si>
  <si>
    <t>João Batista de Figueiredo</t>
  </si>
  <si>
    <t>Operacional/Fundamental - Vigia</t>
  </si>
  <si>
    <t>Castro Alves</t>
  </si>
  <si>
    <t>Helio Benedito Carlos de Oliveira</t>
  </si>
  <si>
    <t>Chácara do Castelo</t>
  </si>
  <si>
    <t>Cristiane Pinto Tobias de Melo</t>
  </si>
  <si>
    <t>Clarice Lispector</t>
  </si>
  <si>
    <t>Otaviano Pereira de França</t>
  </si>
  <si>
    <t>Cora Coralina</t>
  </si>
  <si>
    <t>Elaine Oliveira</t>
  </si>
  <si>
    <t>Érico Veríssimo</t>
  </si>
  <si>
    <t>Elisabete Ferreira Filipini</t>
  </si>
  <si>
    <t>Gilberto Freyre</t>
  </si>
  <si>
    <t>Hans Christian Andersen</t>
  </si>
  <si>
    <t>Reginaldo Jose Bernardes da Cruz</t>
  </si>
  <si>
    <t>Helena Silveira</t>
  </si>
  <si>
    <t>Paulo Sergio Benvindo de Castro</t>
  </si>
  <si>
    <t>Jamil Almansur Haddad</t>
  </si>
  <si>
    <t>Jayme Cortez</t>
  </si>
  <si>
    <t>Ana Cristina Guimarães Moreira</t>
  </si>
  <si>
    <t>José Mauro de Vasconcelos</t>
  </si>
  <si>
    <t>Maria Aparecida Silva de Araújo Abreu</t>
  </si>
  <si>
    <t>José Paulo Paes</t>
  </si>
  <si>
    <t>Jovina Rocha Alvares Pessoa</t>
  </si>
  <si>
    <t>883822-4</t>
  </si>
  <si>
    <t>Magali Machado de Almeida</t>
  </si>
  <si>
    <t>Lenyra Fraccaroli</t>
  </si>
  <si>
    <t>Marcos Antonio de Moraes Martins</t>
  </si>
  <si>
    <t>Malba Tahan</t>
  </si>
  <si>
    <t>Marcos Rey</t>
  </si>
  <si>
    <t>VILA MARIA/VILA GUILHERME</t>
  </si>
  <si>
    <t>VILA MARIA</t>
  </si>
  <si>
    <t>Fatima Andrietta Lemos</t>
  </si>
  <si>
    <t>Mário Schenberg</t>
  </si>
  <si>
    <t>Menotti Del Picchia</t>
  </si>
  <si>
    <t>Ieda Aparecida Oliveira</t>
  </si>
  <si>
    <t>Milton Santos</t>
  </si>
  <si>
    <t xml:space="preserve">Fatima da Silva Lourenço </t>
  </si>
  <si>
    <t>Monteiro Lobato</t>
  </si>
  <si>
    <t>Narbal Fontes</t>
  </si>
  <si>
    <t>Nuto Sant'Anna</t>
  </si>
  <si>
    <t>Camila Soares Correa</t>
  </si>
  <si>
    <t>Padre José de Anchieta</t>
  </si>
  <si>
    <t>Antonio Carlos de Mello Pereira</t>
  </si>
  <si>
    <t>Paulo Sérgio Duarte Milliet</t>
  </si>
  <si>
    <t>Osvaldo Dias Tavares</t>
  </si>
  <si>
    <t>Pedro Nava</t>
  </si>
  <si>
    <t>Prefeito Prestes Maia</t>
  </si>
  <si>
    <t>Cecília Loeffel Noce Gobi</t>
  </si>
  <si>
    <t>Professor Arnaldo Magalhães Giácomo</t>
  </si>
  <si>
    <t>Raimundo de Menezes</t>
  </si>
  <si>
    <t>Maria de Fátima Alves</t>
  </si>
  <si>
    <t>Raul Bopp</t>
  </si>
  <si>
    <t>Ricardo Ramos</t>
  </si>
  <si>
    <t>Maria Luciane Charapa Alves</t>
  </si>
  <si>
    <t>Roberto Santos</t>
  </si>
  <si>
    <t>Gean Carlos de Carvalho</t>
  </si>
  <si>
    <t>Rubens Borba Alves de Morais</t>
  </si>
  <si>
    <t>Raquel Barioni Abdalla</t>
  </si>
  <si>
    <t>Sérgio Buarque de Holanda</t>
  </si>
  <si>
    <t>Marcelo Paulino de Araújo</t>
  </si>
  <si>
    <t>Sylvia Orthof</t>
  </si>
  <si>
    <t>Thales Castanho de Andrade</t>
  </si>
  <si>
    <t>Vicente de Carvalho</t>
  </si>
  <si>
    <t>VILA PRUDENTE/SAPOPEMBA</t>
  </si>
  <si>
    <t>SÃO LUCAS</t>
  </si>
  <si>
    <t>PARQUE SÃO LUCAS</t>
  </si>
  <si>
    <t>Vicente Paulo Guimarães</t>
  </si>
  <si>
    <t>David Alves Pereira</t>
  </si>
  <si>
    <t>Vinícius de Morais</t>
  </si>
  <si>
    <t>José Gutemberg da Silva</t>
  </si>
  <si>
    <t>Viriato Corrêa</t>
  </si>
  <si>
    <t>Yara Pereira dos Santos</t>
  </si>
  <si>
    <t>Antonio Carlos Santos</t>
  </si>
  <si>
    <t>Sabino Pereira Lopes</t>
  </si>
  <si>
    <t>PIRITUBA</t>
  </si>
  <si>
    <t>Sueli Ferreira da Silva Pereira</t>
  </si>
  <si>
    <t>Maria das Graças Costa Xavier</t>
  </si>
  <si>
    <t xml:space="preserve">Sonia da Cunha Martins </t>
  </si>
  <si>
    <t>Paula Oliveira Vasconcelos</t>
  </si>
  <si>
    <t>OESTE</t>
  </si>
  <si>
    <t>José Aparecido Dias</t>
  </si>
  <si>
    <t xml:space="preserve">Henriqueta Oliveira Marques </t>
  </si>
  <si>
    <t>Erício Mendes de Lima</t>
  </si>
  <si>
    <t>Claudio Rogério Basso Godoy</t>
  </si>
  <si>
    <t>TATUAPÉ</t>
  </si>
  <si>
    <t>Mary Grace Domingues dos Santos da Silva</t>
  </si>
  <si>
    <t>Claudia Maria Moreira</t>
  </si>
  <si>
    <t>Paloma da Silva Ferreira</t>
  </si>
  <si>
    <t>SACOMÃ</t>
  </si>
  <si>
    <t>JARDIM PATENTE</t>
  </si>
  <si>
    <t>SUL</t>
  </si>
  <si>
    <t>Edvaldo José Vieira</t>
  </si>
  <si>
    <t>Manoel Joaquim dos Santos</t>
  </si>
  <si>
    <t>Ariette Maria de Souza Moraes</t>
  </si>
  <si>
    <t>Rachel das Graças Almeida da Silva</t>
  </si>
  <si>
    <t>Benis Alexandre Rodrigues</t>
  </si>
  <si>
    <t>Edelmi Geraldo Alves da Silva</t>
  </si>
  <si>
    <t>SICILIANO</t>
  </si>
  <si>
    <t xml:space="preserve">Maria Carolina dos Santos Penna </t>
  </si>
  <si>
    <t>Ilton Laurindo da Silva</t>
  </si>
  <si>
    <t>Juarez de Santana</t>
  </si>
  <si>
    <t>GUAIANASES</t>
  </si>
  <si>
    <t>Maria Lucia Armond da Silva</t>
  </si>
  <si>
    <t>Adagilton Avila de Santana</t>
  </si>
  <si>
    <t>Roseli Aparecida de Mello Avelar Costa</t>
  </si>
  <si>
    <t>JARAQUÁ</t>
  </si>
  <si>
    <t>PARADA DE TAIPAS</t>
  </si>
  <si>
    <t>José Augusto Secco</t>
  </si>
  <si>
    <t>Sueli Lopes</t>
  </si>
  <si>
    <t>Ronaldo Alves</t>
  </si>
  <si>
    <t>Neusa Prado Lima</t>
  </si>
  <si>
    <t>Cícero Pedro de Assis</t>
  </si>
  <si>
    <t>Ivania Marla Garcia Brugnoli</t>
  </si>
  <si>
    <t>Gerusa Camargo Guimarães</t>
  </si>
  <si>
    <t>Maria Lúcia Nunes</t>
  </si>
  <si>
    <t>Rui Rocha Meira</t>
  </si>
  <si>
    <t>José Roberto Tomaz da Silva</t>
  </si>
  <si>
    <t>Wanda Aparecida Borges Cavalcanti</t>
  </si>
  <si>
    <t>LAJEADO</t>
  </si>
  <si>
    <t>Sonia dos Santos Alves</t>
  </si>
  <si>
    <t>Silvania Roseli Possato Medeiros</t>
  </si>
  <si>
    <t>Antonio Martins Santana</t>
  </si>
  <si>
    <t>776837-1</t>
  </si>
  <si>
    <t>922670-2</t>
  </si>
  <si>
    <t>Rafael Eduardo Rodrigo da Silva</t>
  </si>
  <si>
    <t>Luci Costa Neco</t>
  </si>
  <si>
    <t>Sandra Cristina Francisco dos Santos</t>
  </si>
  <si>
    <t>Rosangela Alves</t>
  </si>
  <si>
    <t>Evaldo da Silva Gomes</t>
  </si>
  <si>
    <t>TREMEMBÉ/JAÇANÃ</t>
  </si>
  <si>
    <t>JAÇANÃ</t>
  </si>
  <si>
    <t>PARQUE EDU CHAVES</t>
  </si>
  <si>
    <t>Lídia Zilnay Dourado Gomes</t>
  </si>
  <si>
    <t>Luciana Silva de Campos</t>
  </si>
  <si>
    <t>Joelmo de Sá Silva</t>
  </si>
  <si>
    <t>Albertina Florentino de Souza</t>
  </si>
  <si>
    <t>Maria Leolina dos Santos Menezes</t>
  </si>
  <si>
    <t>Roseli Michellão</t>
  </si>
  <si>
    <t>Gilberto de Almeida</t>
  </si>
  <si>
    <t>623162-4</t>
  </si>
  <si>
    <t>Paulo Sergio Serafim da Silva</t>
  </si>
  <si>
    <t>Etuene Wanderlei de Melo Cabral</t>
  </si>
  <si>
    <t>ARTUR ALVIM</t>
  </si>
  <si>
    <t>Waldir Ordanini de Oliveira</t>
  </si>
  <si>
    <t>Ademir Pereira de Lima</t>
  </si>
  <si>
    <t>Francisco de Assis Oliveira</t>
  </si>
  <si>
    <t>Marli Rosa Moreira</t>
  </si>
  <si>
    <t>Marisa Sugako Miyashiro</t>
  </si>
  <si>
    <t>Noêmia Rocumback Duarte</t>
  </si>
  <si>
    <t>Sergio Luiz Andrade</t>
  </si>
  <si>
    <t>Vicentino Ferreira de Souza</t>
  </si>
  <si>
    <t>Antônio Agustinho de Alencar</t>
  </si>
  <si>
    <t>SOCORRO</t>
  </si>
  <si>
    <t>VELEIROS</t>
  </si>
  <si>
    <t>José Alves de Oliveira Neto</t>
  </si>
  <si>
    <t>Edilene Alves Paes do Amaral Camargo</t>
  </si>
  <si>
    <t>José Fideles da Costa</t>
  </si>
  <si>
    <t>JARDIM UMARIZAL</t>
  </si>
  <si>
    <t>Sérgio Tadeu Guimarães dos Santos</t>
  </si>
  <si>
    <t>Marilena Evangelista Cunha</t>
  </si>
  <si>
    <t>Caio Palma Fernandes</t>
  </si>
  <si>
    <t>Marcos Magalhães Pelegrini</t>
  </si>
  <si>
    <t>Rosangela Araujo Almeida</t>
  </si>
  <si>
    <t xml:space="preserve">Ronaldo Roberto Gonçalves da Silva </t>
  </si>
  <si>
    <t>Carlos Roberto da Silva</t>
  </si>
  <si>
    <t>Paulo Roberto de Souza</t>
  </si>
  <si>
    <t>Marlene Maria da Silva</t>
  </si>
  <si>
    <t>Odenir Vinhato</t>
  </si>
  <si>
    <t>SANTA CECÍLIA</t>
  </si>
  <si>
    <t>VILA BUARQUE</t>
  </si>
  <si>
    <t>Henrique William Turner</t>
  </si>
  <si>
    <t>Maria de Fátima França Baptista</t>
  </si>
  <si>
    <t>Danilo Montingelli</t>
  </si>
  <si>
    <t>Eulália Maria Camara Lobato</t>
  </si>
  <si>
    <t>João de Pontes Junior</t>
  </si>
  <si>
    <t>Maria Edina de Oliveira</t>
  </si>
  <si>
    <t>Cláudia Izar Vieira</t>
  </si>
  <si>
    <t>Micheli de Araujo Oliveira</t>
  </si>
  <si>
    <t xml:space="preserve">
Valeria Zanchitta</t>
  </si>
  <si>
    <t xml:space="preserve">Analice Reffi </t>
  </si>
  <si>
    <t xml:space="preserve">Clara Aparecida de Aguiar Poli </t>
  </si>
  <si>
    <t>Antonio Carlos D'Angelo</t>
  </si>
  <si>
    <t>Roberto Abílio</t>
  </si>
  <si>
    <t>Mirian dos Santos Deveza</t>
  </si>
  <si>
    <t>922680-0</t>
  </si>
  <si>
    <t>Andirá Alves Julio</t>
  </si>
  <si>
    <t>Edison Clementino de Souza</t>
  </si>
  <si>
    <t>Renata Gonçalves Ferrari</t>
  </si>
  <si>
    <t>Fernanda Cristina Ferreira</t>
  </si>
  <si>
    <t>José Teixeira dos Santos</t>
  </si>
  <si>
    <t>Rodolfo Calil Lessa</t>
  </si>
  <si>
    <t>Marli Aparecida dos Santos</t>
  </si>
  <si>
    <t>Heronildes Batista</t>
  </si>
  <si>
    <t>850457-1</t>
  </si>
  <si>
    <t>Ana Virginia Ferreira Carmo</t>
  </si>
  <si>
    <t>Claudio Ferreira da Silva</t>
  </si>
  <si>
    <t>Pureza Maria da Silva</t>
  </si>
  <si>
    <t>Paulo Duarte</t>
  </si>
  <si>
    <t>736826-7</t>
  </si>
  <si>
    <t>Mauro Cabrelon</t>
  </si>
  <si>
    <t>ÁGUA RASA</t>
  </si>
  <si>
    <t>Cledemir Rodrigues de Oliveira</t>
  </si>
  <si>
    <t>Márcia Massako Inoue</t>
  </si>
  <si>
    <t>Rosemeire Usmari da Cruz</t>
  </si>
  <si>
    <t>Edvaldo Luís Silva</t>
  </si>
  <si>
    <t>922665-6</t>
  </si>
  <si>
    <t>Caroline Pazini Cavalcante</t>
  </si>
  <si>
    <t>Jaime Jara</t>
  </si>
  <si>
    <t>Paulo Setúbal</t>
  </si>
  <si>
    <t>Valdemir Munhoz Primo</t>
  </si>
  <si>
    <t>Dirce Conceição Camargo de Barros</t>
  </si>
  <si>
    <t>SANTANA/TUCURUVI</t>
  </si>
  <si>
    <t>MANDAQUI</t>
  </si>
  <si>
    <t>Clenilde Gonçalves dos Santos</t>
  </si>
  <si>
    <t>Carolina Filardo Lauretti</t>
  </si>
  <si>
    <t>Maricy Calejo Godoy Lemos de Vasconcelos</t>
  </si>
  <si>
    <t>Carlos Alberto Garcia Amaya</t>
  </si>
  <si>
    <t>Marilene Soares Barboza</t>
  </si>
  <si>
    <t>Amelia Harue Kaji</t>
  </si>
  <si>
    <t>Marli Affonso Pinto</t>
  </si>
  <si>
    <t>Israel Inácio dos Santos</t>
  </si>
  <si>
    <t>Eduardo Joaquim</t>
  </si>
  <si>
    <t>Iranilde Alves Freires de Farias</t>
  </si>
  <si>
    <t>Marisa Dutra</t>
  </si>
  <si>
    <t>Erico Nunes Ferreira</t>
  </si>
  <si>
    <t>José Roberto Dantas</t>
  </si>
  <si>
    <t>Márcia da Silva Santos Fonseca</t>
  </si>
  <si>
    <t xml:space="preserve">Joanita Pereira dos Anjos </t>
  </si>
  <si>
    <t>858163-1</t>
  </si>
  <si>
    <t>Daniela Moura Rocha</t>
  </si>
  <si>
    <t>Washington Luiz Bezerra</t>
  </si>
  <si>
    <t>Cyro de Loreto Alves</t>
  </si>
  <si>
    <t>Vilma Santos Oliveira</t>
  </si>
  <si>
    <t>Claudio Senna de Oliveira</t>
  </si>
  <si>
    <t>Barbara Boucinha de Almeida Bischoff Voto</t>
  </si>
  <si>
    <t>Carlos Alberto Aielo</t>
  </si>
  <si>
    <t>João Aparecido Soares</t>
  </si>
  <si>
    <t>Edmilson Brito Barbosa</t>
  </si>
  <si>
    <t>Ygor Soares Gonçalves</t>
  </si>
  <si>
    <t>ERMELINO MATARAZZO</t>
  </si>
  <si>
    <t>Jose Luiz Bento Marcelino</t>
  </si>
  <si>
    <t>Nilson Antonio de Lima</t>
  </si>
  <si>
    <t>Marinete Pionte Koski</t>
  </si>
  <si>
    <t>Maria Ismênia Romualdo Teixeira</t>
  </si>
  <si>
    <t>Nilson Porcino Ivo</t>
  </si>
  <si>
    <t>Menézia Benedito da Silva Firmino</t>
  </si>
  <si>
    <t>TUCURUVI</t>
  </si>
  <si>
    <t>Antonio Domingues</t>
  </si>
  <si>
    <t>Grinaura Pereira Alves</t>
  </si>
  <si>
    <t>Ana Luiza Dubra Lessa</t>
  </si>
  <si>
    <t>José Carlos Rocha</t>
  </si>
  <si>
    <t>Elio Reis Vicente</t>
  </si>
  <si>
    <t>Iris Margot Puga</t>
  </si>
  <si>
    <t>JOSÉ BONIFÁCIO</t>
  </si>
  <si>
    <t>Vilma Aparecida de Paula</t>
  </si>
  <si>
    <t>Renato Cesar Di Pietro</t>
  </si>
  <si>
    <t>Elizabeth dos Santos</t>
  </si>
  <si>
    <t>Airton Pinho de Azevedo</t>
  </si>
  <si>
    <t>778760-0</t>
  </si>
  <si>
    <t>ITAIM PAULISTA</t>
  </si>
  <si>
    <t>VILA CURUÇA</t>
  </si>
  <si>
    <t>Sueli de Oliveira</t>
  </si>
  <si>
    <t>Gilneide dos Santos Grillo</t>
  </si>
  <si>
    <t>Marcia Regina Gomes da Silva</t>
  </si>
  <si>
    <t>Debora Albino dos Santos Ramos</t>
  </si>
  <si>
    <t>Ezequiel Oliveira da Silva</t>
  </si>
  <si>
    <t>Maria de Lourdes Ugucione das Chagas</t>
  </si>
  <si>
    <t>Maria do Carmo da Cruz</t>
  </si>
  <si>
    <t>Márcia Ascensão Batista</t>
  </si>
  <si>
    <t>Marta Lovato Zizza</t>
  </si>
  <si>
    <t>Silvio Andrade de Oliveira</t>
  </si>
  <si>
    <t>Bruna Carolina Pinto Cavalcante</t>
  </si>
  <si>
    <t>Claudia Marques da Silva Almeida Gambarino</t>
  </si>
  <si>
    <t>Roselaine Braz Rodrigues</t>
  </si>
  <si>
    <t>Roseli Lima Kindler</t>
  </si>
  <si>
    <t>Irair de Jesus</t>
  </si>
  <si>
    <t>Observação 1: Vigilância terceirizada(postos); controlador de acesso(postos); jovem monitor cultural e limpeza especializada não são contabilizados como numero total de funcionários e nem de funcionários que atendem ou não</t>
  </si>
  <si>
    <t xml:space="preserve">Observação 2: Juliana Santiago oficialmente é coordenadora e responde pela Chácara do Castelo, porém ela está lotada no Gabinete da Coordenação da CSMB - ver a aba Estrutura </t>
  </si>
  <si>
    <t>Andar</t>
  </si>
  <si>
    <t>T</t>
  </si>
  <si>
    <t>SMB-1</t>
  </si>
  <si>
    <t>Vania</t>
  </si>
  <si>
    <t>SMB-113</t>
  </si>
  <si>
    <t>SMB-114</t>
  </si>
  <si>
    <t>SMB-115</t>
  </si>
  <si>
    <t>SMB-313/313A/312</t>
  </si>
  <si>
    <t>SMB-311/314</t>
  </si>
  <si>
    <t>SMB-403</t>
  </si>
  <si>
    <t>Seção Bens Patrimoniais</t>
  </si>
  <si>
    <t>SMB-2</t>
  </si>
  <si>
    <t>SMB-302</t>
  </si>
  <si>
    <t>SMB-401</t>
  </si>
  <si>
    <t>Rua Pascoal Ranieri, 75</t>
  </si>
  <si>
    <t>03034-060</t>
  </si>
  <si>
    <t>Canindé</t>
  </si>
  <si>
    <t>SMB-406</t>
  </si>
  <si>
    <t>Setor de Zelaria e Manutenção</t>
  </si>
  <si>
    <t>03034-061</t>
  </si>
  <si>
    <t>SMB-316</t>
  </si>
  <si>
    <t>Serviço de Extensão Ônibus-Biblioteca</t>
  </si>
  <si>
    <t>2291-5763</t>
  </si>
  <si>
    <t>SMB-317</t>
  </si>
  <si>
    <t>Serviço de Extensão Caixa-Estante e Bosque da Leitura</t>
  </si>
  <si>
    <t>SETOR DE EXPEDIÇÃO</t>
  </si>
  <si>
    <t>Setores 
não 
existentes</t>
  </si>
  <si>
    <t>SMB-405</t>
  </si>
  <si>
    <t>SEÇÃO DE PESSOAL</t>
  </si>
  <si>
    <t>SMB-404</t>
  </si>
  <si>
    <t>SEÇÃO DE PROTOCOLO EXPEDIENTE E REPROGRAFIA</t>
  </si>
  <si>
    <t>SMB-511</t>
  </si>
  <si>
    <t>SEÇÃO DE REFERÊNCIA E INFORMAÇÃO</t>
  </si>
  <si>
    <t>SMB-101</t>
  </si>
  <si>
    <t>SETOR DE APOIO ADMINISTRATIVO</t>
  </si>
  <si>
    <t>SMB-501</t>
  </si>
  <si>
    <t>SETOR DE APOIO ADMINISTRATIVO [PENDÊNCIAS]</t>
  </si>
  <si>
    <t>SMB-402</t>
  </si>
  <si>
    <t>SETOR DE LICITAÇÃO E COMPRAS</t>
  </si>
  <si>
    <t>Status Link</t>
  </si>
  <si>
    <t>Nº</t>
  </si>
  <si>
    <t xml:space="preserve">Zona </t>
  </si>
  <si>
    <t>IP Think Client</t>
  </si>
  <si>
    <t>Gateway</t>
  </si>
  <si>
    <t xml:space="preserve">Mascara IP Lan  </t>
  </si>
  <si>
    <t xml:space="preserve">Ip Loopback </t>
  </si>
  <si>
    <t>Rang IP</t>
  </si>
  <si>
    <t>Banda</t>
  </si>
  <si>
    <t>Legenda</t>
  </si>
  <si>
    <t>Ativado</t>
  </si>
  <si>
    <t>10.59.100.80</t>
  </si>
  <si>
    <t>10.59.100.65</t>
  </si>
  <si>
    <t>21.10.3.173</t>
  </si>
  <si>
    <t>10.59.100.65/128</t>
  </si>
  <si>
    <t>8Mbps</t>
  </si>
  <si>
    <t>10.59.132.223</t>
  </si>
  <si>
    <t>10.59.132.193</t>
  </si>
  <si>
    <t>21.10.3.230</t>
  </si>
  <si>
    <t>10.59.132.193/254</t>
  </si>
  <si>
    <t>10.59.134.80/87</t>
  </si>
  <si>
    <t>10.59.134.65</t>
  </si>
  <si>
    <t>21.10.3.232</t>
  </si>
  <si>
    <t>10.59.134.65/192</t>
  </si>
  <si>
    <t>10.59.124.65</t>
  </si>
  <si>
    <t>21.10.3.214</t>
  </si>
  <si>
    <t>10.59.124.65/192</t>
  </si>
  <si>
    <t>10.59.117.210</t>
  </si>
  <si>
    <t>10.59.117.193</t>
  </si>
  <si>
    <t>21.10.3.201</t>
  </si>
  <si>
    <t>10.59.117.193/254</t>
  </si>
  <si>
    <t>10.59.120.210/216</t>
  </si>
  <si>
    <t>10.59.120.193</t>
  </si>
  <si>
    <t>21.10.3.207</t>
  </si>
  <si>
    <t>10.59.120.193/254</t>
  </si>
  <si>
    <t>10.59.122.80/81/82</t>
  </si>
  <si>
    <t>10.59.122.65</t>
  </si>
  <si>
    <t>21.10.3.210</t>
  </si>
  <si>
    <t>10.59.122.65/192</t>
  </si>
  <si>
    <t>10.59.125.238</t>
  </si>
  <si>
    <t>10.59.125.193</t>
  </si>
  <si>
    <t>21.10.3.217</t>
  </si>
  <si>
    <t>10.59.125.193/254</t>
  </si>
  <si>
    <t>10.59.114.210</t>
  </si>
  <si>
    <t>10.59.114.193</t>
  </si>
  <si>
    <t>21.10.3.195</t>
  </si>
  <si>
    <t>10.59.114.193/254</t>
  </si>
  <si>
    <t>10.59.121.80</t>
  </si>
  <si>
    <t>10.59.121.65</t>
  </si>
  <si>
    <t>21.10.3.208</t>
  </si>
  <si>
    <t>10.59.121.65/192</t>
  </si>
  <si>
    <t>10.5+115.1</t>
  </si>
  <si>
    <t>21.10.104.76</t>
  </si>
  <si>
    <t>10.59.115.1/192</t>
  </si>
  <si>
    <t>10.59.118.80</t>
  </si>
  <si>
    <t>10.59.118.65</t>
  </si>
  <si>
    <t>21.10.3.202</t>
  </si>
  <si>
    <t>10.59.118.65/192</t>
  </si>
  <si>
    <t>10.59.118.210/216/220</t>
  </si>
  <si>
    <t>10.59.118.193</t>
  </si>
  <si>
    <t>21.10.3.203</t>
  </si>
  <si>
    <t>10.59.118.193/254</t>
  </si>
  <si>
    <t>10.59.101.197</t>
  </si>
  <si>
    <t>10.59.101.193</t>
  </si>
  <si>
    <t>21.10.5.57</t>
  </si>
  <si>
    <t>10.59.101.193/254</t>
  </si>
  <si>
    <t>10.59.129.85, 86</t>
  </si>
  <si>
    <t>10.59.129.65</t>
  </si>
  <si>
    <t>21.10.3.223</t>
  </si>
  <si>
    <t>10.59.129.65/192</t>
  </si>
  <si>
    <t>Desativado</t>
  </si>
  <si>
    <t>10.59.126.231</t>
  </si>
  <si>
    <t>LINK DESATIVADO</t>
  </si>
  <si>
    <t>10.59.123.81</t>
  </si>
  <si>
    <t>10.59.123.65</t>
  </si>
  <si>
    <t>21.10.3.212</t>
  </si>
  <si>
    <t>10.59.123.65/192</t>
  </si>
  <si>
    <t>10.59.115.210/211</t>
  </si>
  <si>
    <t>10.59.115.193</t>
  </si>
  <si>
    <t>21.10.3.197</t>
  </si>
  <si>
    <t>10.59.115.193/254</t>
  </si>
  <si>
    <t>10.59.116.65</t>
  </si>
  <si>
    <t>21.10.3.198</t>
  </si>
  <si>
    <t>10.59.116.65/254</t>
  </si>
  <si>
    <t>10.59.121.193</t>
  </si>
  <si>
    <t>21.10.3.209</t>
  </si>
  <si>
    <t>10.59.121.193/254</t>
  </si>
  <si>
    <t>10.59.112.211/222</t>
  </si>
  <si>
    <t>10.59.112.193</t>
  </si>
  <si>
    <t>21.10.3.192</t>
  </si>
  <si>
    <t>10.59.112.193/254</t>
  </si>
  <si>
    <t>10.59.107.1</t>
  </si>
  <si>
    <t>21.10.104.242</t>
  </si>
  <si>
    <t>10.59.107.1/62</t>
  </si>
  <si>
    <t>10.59.128.210</t>
  </si>
  <si>
    <t>10.59.128.193</t>
  </si>
  <si>
    <t>21.10.3.222</t>
  </si>
  <si>
    <t>10.59.128.193/254</t>
  </si>
  <si>
    <t>10.59.131.210</t>
  </si>
  <si>
    <t>10.59.131.193</t>
  </si>
  <si>
    <t>21.10.3.228</t>
  </si>
  <si>
    <t>10.59.128.193/255</t>
  </si>
  <si>
    <t>16Mbps</t>
  </si>
  <si>
    <t>10.95.16.5</t>
  </si>
  <si>
    <t>21.10.1.43/44</t>
  </si>
  <si>
    <t>10.59.16.5/256</t>
  </si>
  <si>
    <t>10.59.101.141/180</t>
  </si>
  <si>
    <t>10.59.101.129</t>
  </si>
  <si>
    <t>21.10.6.143</t>
  </si>
  <si>
    <t>10.59.101.129/192</t>
  </si>
  <si>
    <t>10.59.132.79/81/84</t>
  </si>
  <si>
    <t>10.59.132.65</t>
  </si>
  <si>
    <t>21.10.3.229</t>
  </si>
  <si>
    <t>10.59.132.65/192</t>
  </si>
  <si>
    <t>10.59.131.80/89</t>
  </si>
  <si>
    <t>10.59.131.65</t>
  </si>
  <si>
    <t>21.10.3.227</t>
  </si>
  <si>
    <t>10.59.131.65/192</t>
  </si>
  <si>
    <t>10.59.114.65</t>
  </si>
  <si>
    <t>21.10.3.194</t>
  </si>
  <si>
    <t>10.59.114.65/124</t>
  </si>
  <si>
    <t>10.59.115.80</t>
  </si>
  <si>
    <t>10.59.115.65</t>
  </si>
  <si>
    <t>21.10.3.196</t>
  </si>
  <si>
    <t>10.59.115.65/192</t>
  </si>
  <si>
    <t>10.59.208.144/159/164</t>
  </si>
  <si>
    <t>10.59.208.5</t>
  </si>
  <si>
    <t>21.10.1.225/226</t>
  </si>
  <si>
    <t>10.59.208.5/254</t>
  </si>
  <si>
    <t>10.59.119.193</t>
  </si>
  <si>
    <t>21.10.3.205</t>
  </si>
  <si>
    <t>10.59.119.193/254</t>
  </si>
  <si>
    <t>10.59.133.211</t>
  </si>
  <si>
    <t>10.59.133.193</t>
  </si>
  <si>
    <t>21.10.3.231</t>
  </si>
  <si>
    <t>10.59.133.193/254</t>
  </si>
  <si>
    <t>10.59.24.120</t>
  </si>
  <si>
    <t>10.59.24.5</t>
  </si>
  <si>
    <t>255.255.255.0</t>
  </si>
  <si>
    <t>21.10.0.245</t>
  </si>
  <si>
    <t>10.59.24.5/254</t>
  </si>
  <si>
    <t>10.59.133.80</t>
  </si>
  <si>
    <t>10.59.133.65</t>
  </si>
  <si>
    <t>21.10.3.233</t>
  </si>
  <si>
    <t>10.59.133.65/192</t>
  </si>
  <si>
    <t>10.59.130.82</t>
  </si>
  <si>
    <t>10.59.130.65</t>
  </si>
  <si>
    <t>21.10.3.225</t>
  </si>
  <si>
    <t>10.59.130.65/192</t>
  </si>
  <si>
    <t>10.59.128.80</t>
  </si>
  <si>
    <t>10.59.128.65</t>
  </si>
  <si>
    <t>21.10.3.221</t>
  </si>
  <si>
    <t>10.59.128.65/192</t>
  </si>
  <si>
    <t>10.59.127.210</t>
  </si>
  <si>
    <t>10.59.127.193</t>
  </si>
  <si>
    <t>21.10.3.226</t>
  </si>
  <si>
    <t>10.59.127.193/254</t>
  </si>
  <si>
    <t>10.59.130.193</t>
  </si>
  <si>
    <t>10.59.130.193/254</t>
  </si>
  <si>
    <t>10.59.111.210/213/214/215/235/237/242</t>
  </si>
  <si>
    <t>10.59.111.193</t>
  </si>
  <si>
    <t>21.10.3.190</t>
  </si>
  <si>
    <t>10.59.111.193/254</t>
  </si>
  <si>
    <t>10.59.135.90</t>
  </si>
  <si>
    <t>10.59.135.65</t>
  </si>
  <si>
    <t>21.10.3.238</t>
  </si>
  <si>
    <t>10.59.135.65/254</t>
  </si>
  <si>
    <t>10.59.105.14/16/41</t>
  </si>
  <si>
    <t>10.59.105.1</t>
  </si>
  <si>
    <t>21.10.2.139</t>
  </si>
  <si>
    <t>10.59.105.1/254</t>
  </si>
  <si>
    <t>10.59.110.210</t>
  </si>
  <si>
    <t>10.59.110.193</t>
  </si>
  <si>
    <t>21.10.3.188</t>
  </si>
  <si>
    <t>10.59.110.193/254</t>
  </si>
  <si>
    <t>10.59.112.80</t>
  </si>
  <si>
    <t>10.59.112.65</t>
  </si>
  <si>
    <t>21.10.3.191</t>
  </si>
  <si>
    <t>10.59.112.65/192</t>
  </si>
  <si>
    <t>10.59.129.210</t>
  </si>
  <si>
    <t>10.59.129.193</t>
  </si>
  <si>
    <t>21.10.3.224</t>
  </si>
  <si>
    <t>10.59.129.193/254</t>
  </si>
  <si>
    <t>10.59.126.81/88/99/126</t>
  </si>
  <si>
    <t>10.59.126.65</t>
  </si>
  <si>
    <t>21.10.3.218</t>
  </si>
  <si>
    <t>10.59.126.65/192</t>
  </si>
  <si>
    <t>10.59.120.80/81</t>
  </si>
  <si>
    <t>10.59.120.65</t>
  </si>
  <si>
    <t>21.10.3.206</t>
  </si>
  <si>
    <t>10.59.120.65/192</t>
  </si>
  <si>
    <t>10.59.127.80/97</t>
  </si>
  <si>
    <t>10.59.127.65</t>
  </si>
  <si>
    <t>21.10.6.157</t>
  </si>
  <si>
    <t>10.59.127.65/192</t>
  </si>
  <si>
    <t>10.59.136.144</t>
  </si>
  <si>
    <t>10.59.136.129</t>
  </si>
  <si>
    <t>21.10.4.2</t>
  </si>
  <si>
    <t>10.59.136.129/254</t>
  </si>
  <si>
    <t>10.59.125.65</t>
  </si>
  <si>
    <t>21.10.3.216</t>
  </si>
  <si>
    <t>10.59.125.65/192</t>
  </si>
  <si>
    <t>10.59.124.210/216</t>
  </si>
  <si>
    <t>10.59.123.193</t>
  </si>
  <si>
    <t>21.10.3.213</t>
  </si>
  <si>
    <t>10.59.123.193/254</t>
  </si>
  <si>
    <t>10.59.134.210/215</t>
  </si>
  <si>
    <t>10.59.134.193</t>
  </si>
  <si>
    <t>21.10.3.237</t>
  </si>
  <si>
    <t>10.59.134.193/254</t>
  </si>
  <si>
    <t>10.59.119.65</t>
  </si>
  <si>
    <t>21.10.3.204</t>
  </si>
  <si>
    <t>10.59.119.65/192</t>
  </si>
  <si>
    <t>10.60.48.5</t>
  </si>
  <si>
    <t>255.255.240.0</t>
  </si>
  <si>
    <t>10.60.48.1 ate 63.254</t>
  </si>
  <si>
    <t>rede auria</t>
  </si>
  <si>
    <t>Impressora BP</t>
  </si>
  <si>
    <t>IP</t>
  </si>
  <si>
    <t>Impressora Color</t>
  </si>
  <si>
    <t>BRBSR8805C</t>
  </si>
  <si>
    <t>10.59.100.67</t>
  </si>
  <si>
    <t>BRBSR880C2</t>
  </si>
  <si>
    <t>10.59.132.194</t>
  </si>
  <si>
    <t>Biblioteca Afonso Taunay</t>
  </si>
  <si>
    <t>BRBSR8809F</t>
  </si>
  <si>
    <t>10.59.134.66</t>
  </si>
  <si>
    <t>BRBSR870KK</t>
  </si>
  <si>
    <t>10.59.124.66</t>
  </si>
  <si>
    <t>10.59.124.67</t>
  </si>
  <si>
    <t>BRBSR8N06M</t>
  </si>
  <si>
    <t>BRBSR8809T</t>
  </si>
  <si>
    <t>10.59.117.194</t>
  </si>
  <si>
    <t>BRBSR870MN</t>
  </si>
  <si>
    <t>10.59.120.194</t>
  </si>
  <si>
    <t>BRBSR880BF</t>
  </si>
  <si>
    <t>10.59.122.66</t>
  </si>
  <si>
    <t>BRBSR880LL</t>
  </si>
  <si>
    <t>10.59.125.194</t>
  </si>
  <si>
    <t>10.59.125.195</t>
  </si>
  <si>
    <t>BRBSR8803L</t>
  </si>
  <si>
    <t>10.59.114.195</t>
  </si>
  <si>
    <t>BRBSR870M4</t>
  </si>
  <si>
    <t>10.59.121.66</t>
  </si>
  <si>
    <t>Não tem impressora</t>
  </si>
  <si>
    <t>BRBSR870L9</t>
  </si>
  <si>
    <t>10.59.118.122</t>
  </si>
  <si>
    <t>10.59.118.123</t>
  </si>
  <si>
    <t>BRBSR8N04T</t>
  </si>
  <si>
    <t>BRBSR870MC</t>
  </si>
  <si>
    <t>10.59.118.194</t>
  </si>
  <si>
    <t>BRBSR8807T</t>
  </si>
  <si>
    <t>10.59.129.66</t>
  </si>
  <si>
    <t>BRBSR880HN</t>
  </si>
  <si>
    <t>10.59.123.66</t>
  </si>
  <si>
    <t>BRBSR8808G</t>
  </si>
  <si>
    <t>10.59.115.194</t>
  </si>
  <si>
    <t>BRBSR88043</t>
  </si>
  <si>
    <t>10.59.116.66</t>
  </si>
  <si>
    <t>BRBSR870MH</t>
  </si>
  <si>
    <t>10.59.121.194</t>
  </si>
  <si>
    <t>BRBSR880DY</t>
  </si>
  <si>
    <t>10.59.112.194</t>
  </si>
  <si>
    <t>BRBSR880J3</t>
  </si>
  <si>
    <t>10.59.107.2</t>
  </si>
  <si>
    <t>BRBSR880FY</t>
  </si>
  <si>
    <t>10.59.128.194</t>
  </si>
  <si>
    <t>BRBSR880CJ</t>
  </si>
  <si>
    <t>10.95.16.247</t>
  </si>
  <si>
    <t>BRBSR880CW</t>
  </si>
  <si>
    <t>10.59.131.194</t>
  </si>
  <si>
    <t>BRBSR8803G</t>
  </si>
  <si>
    <t>10.59.101.130</t>
  </si>
  <si>
    <t>BRBSR880CG</t>
  </si>
  <si>
    <t>10.59.132.66</t>
  </si>
  <si>
    <t>BRBSR880BV</t>
  </si>
  <si>
    <t>10.59.131.74</t>
  </si>
  <si>
    <t>BRBSR880L9</t>
  </si>
  <si>
    <t>10.59.114.66</t>
  </si>
  <si>
    <t>Furtada</t>
  </si>
  <si>
    <t>10.59.115.66</t>
  </si>
  <si>
    <t>BRBSR880HY</t>
  </si>
  <si>
    <t>10.59.208.8</t>
  </si>
  <si>
    <t>088WB07M916XF3K</t>
  </si>
  <si>
    <t>10.59.119.194</t>
  </si>
  <si>
    <t>BRBSR8808Q</t>
  </si>
  <si>
    <t>10.59.133.195</t>
  </si>
  <si>
    <t>10.59.24.115</t>
  </si>
  <si>
    <t>0CACBJEKC00023W</t>
  </si>
  <si>
    <t>10.59.24.114</t>
  </si>
  <si>
    <t>BRBSR870LS</t>
  </si>
  <si>
    <t>10.59.133.66</t>
  </si>
  <si>
    <t>BRBSR8808K</t>
  </si>
  <si>
    <t>10.59.130.100</t>
  </si>
  <si>
    <t>BRBSR8N06G</t>
  </si>
  <si>
    <t>10.59.130.66</t>
  </si>
  <si>
    <t>BRBSR8807K</t>
  </si>
  <si>
    <t>10.59.128.85</t>
  </si>
  <si>
    <t>BRBSR880L6</t>
  </si>
  <si>
    <t>10.59.127.194</t>
  </si>
  <si>
    <t>BRBSR8106D</t>
  </si>
  <si>
    <t>10.59.130.194</t>
  </si>
  <si>
    <t>BRBSR880KC</t>
  </si>
  <si>
    <t>10.59.111.194</t>
  </si>
  <si>
    <t>BRBSR88080</t>
  </si>
  <si>
    <t>10.59.135.66</t>
  </si>
  <si>
    <t>BRBSR880JC</t>
  </si>
  <si>
    <t>10.59.105.3</t>
  </si>
  <si>
    <t>10.59.105.4</t>
  </si>
  <si>
    <t>BRBSR8P0DW</t>
  </si>
  <si>
    <t>BRBSR880D1</t>
  </si>
  <si>
    <t>10.59.110.194</t>
  </si>
  <si>
    <t>BRBSR870L4</t>
  </si>
  <si>
    <t>10.59.112.66</t>
  </si>
  <si>
    <t>BRBSR88087</t>
  </si>
  <si>
    <t>10.59.129.194</t>
  </si>
  <si>
    <t>BRBSR8T01J</t>
  </si>
  <si>
    <t>10.59.129.195</t>
  </si>
  <si>
    <t>088WB07M716KJXJ</t>
  </si>
  <si>
    <t>10.59.126.89</t>
  </si>
  <si>
    <t>BRBSR870K1</t>
  </si>
  <si>
    <t>10.59.120.66</t>
  </si>
  <si>
    <t>BRBSR8N06J</t>
  </si>
  <si>
    <t>10.59.120.94</t>
  </si>
  <si>
    <t>BRBSR8805S</t>
  </si>
  <si>
    <t>10.59.127.66</t>
  </si>
  <si>
    <t>BRBSR880JT</t>
  </si>
  <si>
    <t>10.59.136.130</t>
  </si>
  <si>
    <t>BRBSR880BQ</t>
  </si>
  <si>
    <t>10.59.125.66</t>
  </si>
  <si>
    <t>088WB07M916XE6L</t>
  </si>
  <si>
    <t>10.59.123.194</t>
  </si>
  <si>
    <t>BRBSR8809C</t>
  </si>
  <si>
    <t>10.59.134.194</t>
  </si>
  <si>
    <t>Biblioteca Viriato Correa</t>
  </si>
  <si>
    <t xml:space="preserve">                                             10.59.119.70</t>
  </si>
  <si>
    <t>10.59.119.71</t>
  </si>
  <si>
    <t>BRBSR880K7</t>
  </si>
  <si>
    <t>10.59.119.70</t>
  </si>
  <si>
    <t>Almoxarifado</t>
  </si>
  <si>
    <t>0CACBJEKC00027R</t>
  </si>
  <si>
    <t>10.59.36.6</t>
  </si>
  <si>
    <t>CSMB - 2º Andar</t>
  </si>
  <si>
    <t>BRBSR8804D</t>
  </si>
  <si>
    <t>10.59.208.9</t>
  </si>
  <si>
    <t xml:space="preserve">CSMB - 2º Andar </t>
  </si>
  <si>
    <t xml:space="preserve"> BRBSR8805K</t>
  </si>
  <si>
    <t>10.59.208.7</t>
  </si>
  <si>
    <t>CSMB - 4º Andar</t>
  </si>
  <si>
    <t>BRBSR880BS</t>
  </si>
  <si>
    <t>10.59.208.102</t>
  </si>
  <si>
    <t>BRBSR7W04R</t>
  </si>
  <si>
    <t>10.59.208.10</t>
  </si>
  <si>
    <t>CSMB - 5° Andar</t>
  </si>
  <si>
    <t>BRBSR870K5</t>
  </si>
  <si>
    <t>10.59.208.104</t>
  </si>
  <si>
    <t>BRBSR8N06D</t>
  </si>
  <si>
    <t>10.59.208.100</t>
  </si>
  <si>
    <t>CSMB - 6º Andar</t>
  </si>
  <si>
    <t>BRBSR88084</t>
  </si>
  <si>
    <t>10.59.208.101</t>
  </si>
  <si>
    <t>Serviço de extensão</t>
  </si>
  <si>
    <t>BRBSR870MS</t>
  </si>
  <si>
    <t>10.59.134.69</t>
  </si>
  <si>
    <t>Atendimento ao Suporte Técnico</t>
  </si>
  <si>
    <t>Atendimento ao Usuário</t>
  </si>
  <si>
    <t>EMPRESAS</t>
  </si>
  <si>
    <t>E-MAILS</t>
  </si>
  <si>
    <t>USUARIO</t>
  </si>
  <si>
    <t>SENHA</t>
  </si>
  <si>
    <t>TELEFONE</t>
  </si>
  <si>
    <t>SECRETARIA</t>
  </si>
  <si>
    <t>WI-FI AMERICANET(SMIT)</t>
  </si>
  <si>
    <t>lhilario@prefeitura.sp.gov.br
egazoia@prefeitura.sp.gov.br</t>
  </si>
  <si>
    <t>2075-7289</t>
  </si>
  <si>
    <t>GLPI</t>
  </si>
  <si>
    <t>(seu user)</t>
  </si>
  <si>
    <t>(sua senha)</t>
  </si>
  <si>
    <t>3861-5338</t>
  </si>
  <si>
    <t>ZABBIX</t>
  </si>
  <si>
    <t>admin</t>
  </si>
  <si>
    <t>zabbix</t>
  </si>
  <si>
    <t>TROCA DE SENHA</t>
  </si>
  <si>
    <t>Dash GRAFANA</t>
  </si>
  <si>
    <t>0730@info</t>
  </si>
  <si>
    <t>SEI</t>
  </si>
  <si>
    <t>RESET DE SENHA SUPRI</t>
  </si>
  <si>
    <t>dpc_vsl@prodam.sp.gov.br</t>
  </si>
  <si>
    <t>Dash GLPI</t>
  </si>
  <si>
    <t>AREA DE T.I</t>
  </si>
  <si>
    <t>Portal UX SIMPRESS</t>
  </si>
  <si>
    <t>brunosantos@prefeitura.sp.gov.br</t>
  </si>
  <si>
    <t>Prodam01</t>
  </si>
  <si>
    <t>4090-1590</t>
  </si>
  <si>
    <t>PROXY</t>
  </si>
  <si>
    <t>Acesso Impresssora SIMPRESS</t>
  </si>
  <si>
    <t>admin
Admin</t>
  </si>
  <si>
    <t>simpress1934@
simpress1111@ 
Simpress1934@ 
sec00000 simpress@12682</t>
  </si>
  <si>
    <t>TROCA DE USUARIO DA SECRETARIA</t>
  </si>
  <si>
    <t>TECNOSET - IMPRESSORAS</t>
  </si>
  <si>
    <t>wermerson.anacleto</t>
  </si>
  <si>
    <t>2808-7800</t>
  </si>
  <si>
    <t>APOSTILA SUPRI</t>
  </si>
  <si>
    <t>COMPUTADORES HP(DENTRO DA GARANTIA)</t>
  </si>
  <si>
    <t>suporte@grupotorino.com.br</t>
  </si>
  <si>
    <t>SERVIDORES</t>
  </si>
  <si>
    <t>GRUPO TOURINO(HP)</t>
  </si>
  <si>
    <t>wermerson@prefeitura.sp.gov.br</t>
  </si>
  <si>
    <t>(15)32389535</t>
  </si>
  <si>
    <t>IP_VM</t>
  </si>
  <si>
    <t>IP_MF</t>
  </si>
  <si>
    <t>USER</t>
  </si>
  <si>
    <t>SSI</t>
  </si>
  <si>
    <t>Servidor Simpress</t>
  </si>
  <si>
    <t>10.59.68.26</t>
  </si>
  <si>
    <t>Administrador</t>
  </si>
  <si>
    <t>ACESSO AO ALEXANDRIA</t>
  </si>
  <si>
    <t>CSMBTI</t>
  </si>
  <si>
    <t>10.59.208.183</t>
  </si>
  <si>
    <t>csmb</t>
  </si>
  <si>
    <t>MPLS PRODAM</t>
  </si>
  <si>
    <t>0800 722 7677</t>
  </si>
  <si>
    <t>BD GLPI</t>
  </si>
  <si>
    <t>10.59.208.241:3306</t>
  </si>
  <si>
    <t>IntranetCSMB</t>
  </si>
  <si>
    <t>10.59.208.158</t>
  </si>
  <si>
    <t>CERVELLO</t>
  </si>
  <si>
    <t>GRAFANA</t>
  </si>
  <si>
    <t>10.59.208.184:3000</t>
  </si>
  <si>
    <t>BENS</t>
  </si>
  <si>
    <t>Prodam09</t>
  </si>
  <si>
    <t>10.59.208.184</t>
  </si>
  <si>
    <t>BD ZABBIX</t>
  </si>
  <si>
    <t>CONSULTAR MESA SEI</t>
  </si>
  <si>
    <t>ROTAS</t>
  </si>
  <si>
    <t xml:space="preserve">DHCP  </t>
  </si>
  <si>
    <t>10.59.208.1</t>
  </si>
  <si>
    <t>10.59.208.254</t>
  </si>
  <si>
    <t>usuario</t>
  </si>
  <si>
    <t>prodam</t>
  </si>
  <si>
    <t>ODOO - CONTROLE DE ESTOQUE</t>
  </si>
  <si>
    <t>(seu user/e-mail)</t>
  </si>
  <si>
    <t>impressoras simpress</t>
  </si>
  <si>
    <t>administrador</t>
  </si>
  <si>
    <t>simpress@12682 ou simpress1934@</t>
  </si>
  <si>
    <t>Suporte DELL</t>
  </si>
  <si>
    <t>(19) 99335-5566  11 98923-8421</t>
  </si>
  <si>
    <t>VNC</t>
  </si>
  <si>
    <t>ADMIN</t>
  </si>
  <si>
    <t>0730i</t>
  </si>
  <si>
    <t>NAS_CSMB   http/https</t>
  </si>
  <si>
    <t>10.59.210.210</t>
  </si>
  <si>
    <t xml:space="preserve">              Rotas</t>
  </si>
  <si>
    <t>Local Do Chamado</t>
  </si>
  <si>
    <t>Data Da Solicitação</t>
  </si>
  <si>
    <t>Entrega</t>
  </si>
  <si>
    <t>Retirada</t>
  </si>
  <si>
    <t>Chamado</t>
  </si>
  <si>
    <t>Descrição</t>
  </si>
  <si>
    <t>14/12/2023</t>
  </si>
  <si>
    <t>Equipamentos</t>
  </si>
  <si>
    <t>Retirada de Desktop</t>
  </si>
  <si>
    <t>Aguardando Retirada</t>
  </si>
  <si>
    <t xml:space="preserve">
Óculos Orcam</t>
  </si>
  <si>
    <r>
      <rPr>
        <sz val="10"/>
        <color rgb="FF000000"/>
        <rFont val="Arial"/>
        <family val="2"/>
        <scheme val="minor"/>
      </rPr>
      <t xml:space="preserve">
</t>
    </r>
    <r>
      <rPr>
        <u/>
        <sz val="10"/>
        <color rgb="FF0000FF"/>
        <rFont val="Arial"/>
        <family val="2"/>
        <scheme val="minor"/>
      </rPr>
      <t>Estoque</t>
    </r>
  </si>
  <si>
    <r>
      <t xml:space="preserve">
</t>
    </r>
    <r>
      <rPr>
        <u/>
        <sz val="10"/>
        <color rgb="FF0000FF"/>
        <rFont val="Arial"/>
        <family val="2"/>
        <scheme val="minor"/>
      </rPr>
      <t>Bens Físico</t>
    </r>
  </si>
  <si>
    <t>COMPUTADORES</t>
  </si>
  <si>
    <t>MONITORES</t>
  </si>
  <si>
    <t>Localidade</t>
  </si>
  <si>
    <t>Preventiva</t>
  </si>
  <si>
    <t>Hostname</t>
  </si>
  <si>
    <t>Fabricante</t>
  </si>
  <si>
    <t>Modelo</t>
  </si>
  <si>
    <t>Número de Série</t>
  </si>
  <si>
    <t>Patrimônio</t>
  </si>
  <si>
    <t>SMCCSMB0008</t>
  </si>
  <si>
    <t>10.59.100.83</t>
  </si>
  <si>
    <t>HP</t>
  </si>
  <si>
    <t>ELITEDESK800</t>
  </si>
  <si>
    <t>BRJ0118RY6</t>
  </si>
  <si>
    <t>001.052260755-0</t>
  </si>
  <si>
    <t>AOC</t>
  </si>
  <si>
    <t>24P1U</t>
  </si>
  <si>
    <t>GNSJ8XA000402</t>
  </si>
  <si>
    <t>001.052262413-7</t>
  </si>
  <si>
    <t>SMCCSMB0004</t>
  </si>
  <si>
    <t>10.59.100.88</t>
  </si>
  <si>
    <t>DELL</t>
  </si>
  <si>
    <t>OPTIPLEX3080</t>
  </si>
  <si>
    <t>G73C2L3</t>
  </si>
  <si>
    <t>001.053125145-3</t>
  </si>
  <si>
    <t>P2422Hb</t>
  </si>
  <si>
    <t>882FHH3</t>
  </si>
  <si>
    <t>001.051098930-5</t>
  </si>
  <si>
    <t>SMCCSMB0001</t>
  </si>
  <si>
    <t>10.59.100.86</t>
  </si>
  <si>
    <t>POSITIVO</t>
  </si>
  <si>
    <t>D570</t>
  </si>
  <si>
    <t>1A9380L8V</t>
  </si>
  <si>
    <t>001.051098855-4</t>
  </si>
  <si>
    <t>W1942PEU</t>
  </si>
  <si>
    <t>S/N</t>
  </si>
  <si>
    <t>SMCCSMB0003</t>
  </si>
  <si>
    <t>10.59.100.95</t>
  </si>
  <si>
    <t>8B7C2L3</t>
  </si>
  <si>
    <t>001.053125014-7</t>
  </si>
  <si>
    <t>JSPFHH3</t>
  </si>
  <si>
    <t>001.-53128637-0</t>
  </si>
  <si>
    <t>SMCCSMB0007</t>
  </si>
  <si>
    <t>10.59.100.66</t>
  </si>
  <si>
    <t>GNZC2L3</t>
  </si>
  <si>
    <t>001053125512-2</t>
  </si>
  <si>
    <t>JYDGHH3</t>
  </si>
  <si>
    <t>001.053128921-3</t>
  </si>
  <si>
    <t>SMCCSMB0009</t>
  </si>
  <si>
    <t>10.59.100.68</t>
  </si>
  <si>
    <t>5T2C2C3</t>
  </si>
  <si>
    <t>001.053124730-8</t>
  </si>
  <si>
    <t>OPTIPEX3080</t>
  </si>
  <si>
    <t>HZTGHH3</t>
  </si>
  <si>
    <t>001.053128630-3</t>
  </si>
  <si>
    <t>SMCCSMB0021</t>
  </si>
  <si>
    <t>10.59.132.205conv.</t>
  </si>
  <si>
    <t>6YZM2L3</t>
  </si>
  <si>
    <t>001.053125232-8</t>
  </si>
  <si>
    <t>JXMGHH3</t>
  </si>
  <si>
    <t>001053128928-0</t>
  </si>
  <si>
    <t>SMCCSMB0024</t>
  </si>
  <si>
    <t>10.59.132.237conv.</t>
  </si>
  <si>
    <t>JB7C2L3</t>
  </si>
  <si>
    <t>001.053125008-2</t>
  </si>
  <si>
    <t>JXHFHH3</t>
  </si>
  <si>
    <t>001.053128925-6</t>
  </si>
  <si>
    <t>SMCCSMB0026</t>
  </si>
  <si>
    <t>10.59.132.210</t>
  </si>
  <si>
    <t>FB7C2L3</t>
  </si>
  <si>
    <t>001.053124997-1</t>
  </si>
  <si>
    <t>DYWDHH3</t>
  </si>
  <si>
    <t>001.050531799-0</t>
  </si>
  <si>
    <t>SMCCSMB0028</t>
  </si>
  <si>
    <t>10.59.132.204</t>
  </si>
  <si>
    <t>BRJ0118RZW</t>
  </si>
  <si>
    <t>001.05220791-7</t>
  </si>
  <si>
    <t>GNSJBXA000299</t>
  </si>
  <si>
    <t>001.052262397-1</t>
  </si>
  <si>
    <t>SMCCSMB0029</t>
  </si>
  <si>
    <t>10.59.132.203</t>
  </si>
  <si>
    <t>5g3c2l3</t>
  </si>
  <si>
    <t>001.053125340-5</t>
  </si>
  <si>
    <t>90YFHH3</t>
  </si>
  <si>
    <t>001.053128333-9'</t>
  </si>
  <si>
    <t>SMCCSMB0045</t>
  </si>
  <si>
    <t>10.59.132.239conv.</t>
  </si>
  <si>
    <t>G97C2L3</t>
  </si>
  <si>
    <t>001.053125020-1</t>
  </si>
  <si>
    <t>JYLGHH3</t>
  </si>
  <si>
    <t>001.053128923-0</t>
  </si>
  <si>
    <t>SMCCSMB0030</t>
  </si>
  <si>
    <t>10.59.134.100</t>
  </si>
  <si>
    <t>BRJ0118RZR</t>
  </si>
  <si>
    <t>001.052260788-7</t>
  </si>
  <si>
    <t>GNSJ8XA000301</t>
  </si>
  <si>
    <t>001.052262398-0</t>
  </si>
  <si>
    <t>SMCCSMB0011</t>
  </si>
  <si>
    <t>10.59.134.101</t>
  </si>
  <si>
    <t>4B7C2L3</t>
  </si>
  <si>
    <t>001.053125015-5</t>
  </si>
  <si>
    <t>H21FHH3</t>
  </si>
  <si>
    <t>001.053128657-5</t>
  </si>
  <si>
    <t>SMCCSMB0014</t>
  </si>
  <si>
    <t>10.59.134.68</t>
  </si>
  <si>
    <t>DZZM2L3</t>
  </si>
  <si>
    <t>001.053125271-9</t>
  </si>
  <si>
    <t>64YFHH3</t>
  </si>
  <si>
    <t>001.053128410-6</t>
  </si>
  <si>
    <t>SMCCSMB0020</t>
  </si>
  <si>
    <t>10.59.134.120</t>
  </si>
  <si>
    <t>2B7C2L3</t>
  </si>
  <si>
    <t>001.053124992-0</t>
  </si>
  <si>
    <t>H18FHH3</t>
  </si>
  <si>
    <t>001.053128654-0</t>
  </si>
  <si>
    <t>SMCCSMB0017</t>
  </si>
  <si>
    <t>10.59.134.93</t>
  </si>
  <si>
    <t>CXZM2L3</t>
  </si>
  <si>
    <t>001.053125240-9</t>
  </si>
  <si>
    <t>JXLGHH3</t>
  </si>
  <si>
    <t>001.053128905-1</t>
  </si>
  <si>
    <t>SMCCSMB0016</t>
  </si>
  <si>
    <t>10.59.134.102</t>
  </si>
  <si>
    <t>4V3C2L3</t>
  </si>
  <si>
    <t>001.053125228-0</t>
  </si>
  <si>
    <t>HYWGHH3</t>
  </si>
  <si>
    <t>001.053128666-4</t>
  </si>
  <si>
    <t>SMCCSMB0012</t>
  </si>
  <si>
    <t>10.59.134.76</t>
  </si>
  <si>
    <t>DP2C2L3</t>
  </si>
  <si>
    <t>001.053125497-5</t>
  </si>
  <si>
    <t>SMCCSMB0018</t>
  </si>
  <si>
    <t>10.59.134.111</t>
  </si>
  <si>
    <t>BP3C2L3</t>
  </si>
  <si>
    <t>001.053124935-1</t>
  </si>
  <si>
    <t>BR6FHH3</t>
  </si>
  <si>
    <t>001.053128895-0</t>
  </si>
  <si>
    <t>SMCCSMB0040</t>
  </si>
  <si>
    <t>10.59.134.103</t>
  </si>
  <si>
    <t>BRJ0118RYH</t>
  </si>
  <si>
    <t>001.052260761-5</t>
  </si>
  <si>
    <t>GNSJ7XA004152</t>
  </si>
  <si>
    <t>001.052262366-1</t>
  </si>
  <si>
    <t>Onibus</t>
  </si>
  <si>
    <t>SMCCSMB0015</t>
  </si>
  <si>
    <t>10.59.134.84</t>
  </si>
  <si>
    <t>4C7C2L3</t>
  </si>
  <si>
    <t>001.053124982-3</t>
  </si>
  <si>
    <t>DELL
SAMGUNG</t>
  </si>
  <si>
    <t>P2422Hb
B1940W</t>
  </si>
  <si>
    <t>JVHFHH3
0274HQABC00369H</t>
  </si>
  <si>
    <t>001.053128392-4
S/N</t>
  </si>
  <si>
    <t>SMCCSMB0010</t>
  </si>
  <si>
    <t>10.59.134.77</t>
  </si>
  <si>
    <t>7P3C2L3</t>
  </si>
  <si>
    <t>001.053124977-7</t>
  </si>
  <si>
    <t>ZKVGHH3</t>
  </si>
  <si>
    <t>001.053128111-5</t>
  </si>
  <si>
    <t>SMCCSMB0019</t>
  </si>
  <si>
    <t>10.59.134.125</t>
  </si>
  <si>
    <t>JWZM2L3</t>
  </si>
  <si>
    <t>001.053125261-1</t>
  </si>
  <si>
    <t>66HFHH3</t>
  </si>
  <si>
    <t>001.053128426-2</t>
  </si>
  <si>
    <t>SMCCSMB0050</t>
  </si>
  <si>
    <t>10.59.134.150</t>
  </si>
  <si>
    <t>KABUM</t>
  </si>
  <si>
    <t>SHARKOON</t>
  </si>
  <si>
    <t>001.1051568687-4</t>
  </si>
  <si>
    <t>SMCCSMB0035</t>
  </si>
  <si>
    <t>10.59.124.91</t>
  </si>
  <si>
    <t>8G3C2L3</t>
  </si>
  <si>
    <t>001.053125349-9</t>
  </si>
  <si>
    <t>2KQFHH3</t>
  </si>
  <si>
    <t>001.053128085-2</t>
  </si>
  <si>
    <t>SMCCSMB0342</t>
  </si>
  <si>
    <t>10.59.124.78</t>
  </si>
  <si>
    <t>5Q2C2L3</t>
  </si>
  <si>
    <t>001.053125482-7</t>
  </si>
  <si>
    <t>FN1FHH3</t>
  </si>
  <si>
    <t>001053128909-4</t>
  </si>
  <si>
    <t>SMCCSMB0034</t>
  </si>
  <si>
    <t>10.59.124.96</t>
  </si>
  <si>
    <t>08160603019290128</t>
  </si>
  <si>
    <t>001.051568692-0</t>
  </si>
  <si>
    <t>E2011PX</t>
  </si>
  <si>
    <t>SMCCSMB0038</t>
  </si>
  <si>
    <t>10.59.124.75</t>
  </si>
  <si>
    <t>6B7C2L3</t>
  </si>
  <si>
    <t>001.053125017-1</t>
  </si>
  <si>
    <t>JX1FHH3</t>
  </si>
  <si>
    <t>001.053128897-7</t>
  </si>
  <si>
    <t>SMCCSMB0037</t>
  </si>
  <si>
    <t>10.59.124.93</t>
  </si>
  <si>
    <t>7S2C2L3</t>
  </si>
  <si>
    <t>001.05324766-9</t>
  </si>
  <si>
    <t>FM5GMH3</t>
  </si>
  <si>
    <t>001.053128406-8</t>
  </si>
  <si>
    <t>SMCCSMB0033</t>
  </si>
  <si>
    <t>10.59.124.98</t>
  </si>
  <si>
    <t>JJ2C2L3</t>
  </si>
  <si>
    <t>001,053124812-6</t>
  </si>
  <si>
    <t>2KOGHH3</t>
  </si>
  <si>
    <t>001.053128092-7</t>
  </si>
  <si>
    <t>SMCCSMB0041</t>
  </si>
  <si>
    <t>10.59.124.94</t>
  </si>
  <si>
    <t>BRJ0118RY3</t>
  </si>
  <si>
    <t>001.052260753-4</t>
  </si>
  <si>
    <t>24PUT</t>
  </si>
  <si>
    <t>GNSJ8XA000043</t>
  </si>
  <si>
    <t>001.052262378-5</t>
  </si>
  <si>
    <t>Biblioteca Alvares de Azevedo - Atendimento</t>
  </si>
  <si>
    <t>SMCCSMB0046</t>
  </si>
  <si>
    <t>10.59.117.227</t>
  </si>
  <si>
    <t>OPTIPLEX3081</t>
  </si>
  <si>
    <t>3B7C2L2</t>
  </si>
  <si>
    <t>001053125013-9</t>
  </si>
  <si>
    <t>HYTGHH3</t>
  </si>
  <si>
    <t>001.053128668-0</t>
  </si>
  <si>
    <t>SMCCSMB0047</t>
  </si>
  <si>
    <t>10.59.117.225</t>
  </si>
  <si>
    <t>6S3C2L3</t>
  </si>
  <si>
    <t>001.053125183-6</t>
  </si>
  <si>
    <t>91XGHH3</t>
  </si>
  <si>
    <t>001.053128334-7</t>
  </si>
  <si>
    <t>SMCCSMB0048</t>
  </si>
  <si>
    <t>10.59.117.223</t>
  </si>
  <si>
    <t>BRJO11850W</t>
  </si>
  <si>
    <t>001.052260802-6</t>
  </si>
  <si>
    <t>GNSJ8XA000473</t>
  </si>
  <si>
    <t>001.052262430-7</t>
  </si>
  <si>
    <t>BP Alvaro Guerra</t>
  </si>
  <si>
    <t>TINKCLIENT</t>
  </si>
  <si>
    <t>10.59.120.216</t>
  </si>
  <si>
    <t>8160603019290220</t>
  </si>
  <si>
    <t>001.051568662-9</t>
  </si>
  <si>
    <t>SMCCSMB0057</t>
  </si>
  <si>
    <t>10.59.120.223</t>
  </si>
  <si>
    <t>B83C2L3</t>
  </si>
  <si>
    <t>001.053124684-0</t>
  </si>
  <si>
    <t>4MPFHH3</t>
  </si>
  <si>
    <t>001.053128514-5</t>
  </si>
  <si>
    <t>SMCCSMB0058</t>
  </si>
  <si>
    <t>10.59.120.222</t>
  </si>
  <si>
    <t>CT2C2L3</t>
  </si>
  <si>
    <t>001.053124769-3</t>
  </si>
  <si>
    <t>JSDGHH3</t>
  </si>
  <si>
    <t>001.053128648-6</t>
  </si>
  <si>
    <t>SMCCSMB0064</t>
  </si>
  <si>
    <t>10.59.120.236</t>
  </si>
  <si>
    <t>5S3C2L3</t>
  </si>
  <si>
    <t>001.053125182-0</t>
  </si>
  <si>
    <t>2J1FHH3</t>
  </si>
  <si>
    <t>001.053128099-2</t>
  </si>
  <si>
    <t>SMCCSMB0060</t>
  </si>
  <si>
    <t>10.59.120.203</t>
  </si>
  <si>
    <t>7B7C2L3</t>
  </si>
  <si>
    <t>001.053126007-4</t>
  </si>
  <si>
    <t>JTDGHIH3</t>
  </si>
  <si>
    <t>001.053128665-6</t>
  </si>
  <si>
    <t>SMCCSMB0063</t>
  </si>
  <si>
    <t>10.59.120.220</t>
  </si>
  <si>
    <t>4C3C2L3</t>
  </si>
  <si>
    <t>001.053124698-8</t>
  </si>
  <si>
    <t>DY7FHH3</t>
  </si>
  <si>
    <t>001.053128110-7</t>
  </si>
  <si>
    <t>SMCCSMB0069</t>
  </si>
  <si>
    <t>10.59.120.219</t>
  </si>
  <si>
    <t>1V3C2L3</t>
  </si>
  <si>
    <t>GNSJ8XA000526</t>
  </si>
  <si>
    <t>001.52262434-0</t>
  </si>
  <si>
    <t>BP Amadeu Amaral</t>
  </si>
  <si>
    <t>SMCCSMB0070</t>
  </si>
  <si>
    <t>10.59.122.76</t>
  </si>
  <si>
    <t>5C7C2L3</t>
  </si>
  <si>
    <t>001.053124999-8</t>
  </si>
  <si>
    <t>P2422HB</t>
  </si>
  <si>
    <t>JS0FHH3</t>
  </si>
  <si>
    <t>001.053128651-6</t>
  </si>
  <si>
    <t>SMCCSMB0066</t>
  </si>
  <si>
    <t>10.59.122.73</t>
  </si>
  <si>
    <t>5Z2C2L3</t>
  </si>
  <si>
    <t>001.053125281-6</t>
  </si>
  <si>
    <t>19VGHH3</t>
  </si>
  <si>
    <t>001.053228116-6</t>
  </si>
  <si>
    <t>SMCCSMB0067</t>
  </si>
  <si>
    <t>10.59.122.77</t>
  </si>
  <si>
    <t>CB7C2L3</t>
  </si>
  <si>
    <t>001.053124989-0</t>
  </si>
  <si>
    <t>JSXPHH3</t>
  </si>
  <si>
    <t>001.053128642-7</t>
  </si>
  <si>
    <t>SMCCSMB0071</t>
  </si>
  <si>
    <t>BRJ0118Z2Q</t>
  </si>
  <si>
    <t>001.052260816-6</t>
  </si>
  <si>
    <t>GNSJ8XA000114</t>
  </si>
  <si>
    <t>001.052262382-3</t>
  </si>
  <si>
    <t>CSMB-PESQ</t>
  </si>
  <si>
    <t>10.59.122.81</t>
  </si>
  <si>
    <t>Q</t>
  </si>
  <si>
    <t>1619S</t>
  </si>
  <si>
    <t>I1704IA008308</t>
  </si>
  <si>
    <t>BP Amadeu Amara Reserva</t>
  </si>
  <si>
    <t>BP Anne Frank - Balcão</t>
  </si>
  <si>
    <t>SMCCSMB0078</t>
  </si>
  <si>
    <t>10.59.125.213</t>
  </si>
  <si>
    <t>9G3C2L3</t>
  </si>
  <si>
    <t>001.053125370-7</t>
  </si>
  <si>
    <t>64NGHH3</t>
  </si>
  <si>
    <t>001.053128424-6</t>
  </si>
  <si>
    <t>BP Anne Frank - Coordenad.</t>
  </si>
  <si>
    <t>SMCCSMB0080</t>
  </si>
  <si>
    <t>10.59.125.210</t>
  </si>
  <si>
    <t>ELIEDESK800</t>
  </si>
  <si>
    <t>BRJO118RY5</t>
  </si>
  <si>
    <t>001.052260754-2</t>
  </si>
  <si>
    <t>GNSJ8XA000122</t>
  </si>
  <si>
    <t>001.052262389-0</t>
  </si>
  <si>
    <t>BP Anne Frank - Sala de Catalog.</t>
  </si>
  <si>
    <t>SMCCSMB0081</t>
  </si>
  <si>
    <t>10.59.125.252</t>
  </si>
  <si>
    <t>2C7C2L3</t>
  </si>
  <si>
    <t>001053124979-3</t>
  </si>
  <si>
    <t>NÃO CONSTA</t>
  </si>
  <si>
    <t>CSMBPC</t>
  </si>
  <si>
    <t>K</t>
  </si>
  <si>
    <t>1A380528T</t>
  </si>
  <si>
    <t>LG</t>
  </si>
  <si>
    <t>16M38-8</t>
  </si>
  <si>
    <t>7028PCA0L843</t>
  </si>
  <si>
    <t>001.51568575-4</t>
  </si>
  <si>
    <t>BP Anne Frank - Sala de Leitura</t>
  </si>
  <si>
    <t>SMCCSMB0082</t>
  </si>
  <si>
    <t>10.59.125.231</t>
  </si>
  <si>
    <t>6Q2C2L3</t>
  </si>
  <si>
    <t>001.053125487-8</t>
  </si>
  <si>
    <t>1R8FHH3</t>
  </si>
  <si>
    <t>001.053128039-7</t>
  </si>
  <si>
    <t>BP Anne Frank</t>
  </si>
  <si>
    <t>SMCCSMB0083</t>
  </si>
  <si>
    <t>10.59.125.207</t>
  </si>
  <si>
    <t>l1742PEU</t>
  </si>
  <si>
    <t>BP Anne Frank--Sala de Catalog.</t>
  </si>
  <si>
    <t>SMCCSMB0084</t>
  </si>
  <si>
    <t>10.59.125.212</t>
  </si>
  <si>
    <t>123C2L3</t>
  </si>
  <si>
    <t>001.053125322-7</t>
  </si>
  <si>
    <t>65DGHH3</t>
  </si>
  <si>
    <t>001.053128425-4</t>
  </si>
  <si>
    <t>BP Anne Frank Reseva</t>
  </si>
  <si>
    <t>BR2C2L3</t>
  </si>
  <si>
    <t>001.053125480-0</t>
  </si>
  <si>
    <t>75DGHH3</t>
  </si>
  <si>
    <t>001.053128399-1</t>
  </si>
  <si>
    <t>BP Aureliano Leite</t>
  </si>
  <si>
    <t>SMCCSMB091</t>
  </si>
  <si>
    <t>10.59.121.98</t>
  </si>
  <si>
    <t>BRJ00118S17</t>
  </si>
  <si>
    <t>001.052260806-9</t>
  </si>
  <si>
    <t>GNSJ8XA004079</t>
  </si>
  <si>
    <t>001.052262345-9</t>
  </si>
  <si>
    <t>SMCCSMB0090</t>
  </si>
  <si>
    <t>10.59.121.91</t>
  </si>
  <si>
    <t>BXZM2L3</t>
  </si>
  <si>
    <t>001.053125238-7</t>
  </si>
  <si>
    <t>JYMGHH3</t>
  </si>
  <si>
    <t>001.053128899-3</t>
  </si>
  <si>
    <t>SMCCSMB0089</t>
  </si>
  <si>
    <t>10.59.121.97</t>
  </si>
  <si>
    <t>713C2L3</t>
  </si>
  <si>
    <t>001.053125328-6</t>
  </si>
  <si>
    <t>2JQFHH3</t>
  </si>
  <si>
    <t>001.053128104-2</t>
  </si>
  <si>
    <t>SMCCSMB0087</t>
  </si>
  <si>
    <t>10.59.121.86</t>
  </si>
  <si>
    <t>9Q2C2L3</t>
  </si>
  <si>
    <t>001.053125520-3</t>
  </si>
  <si>
    <t>JYGGHH3</t>
  </si>
  <si>
    <t>001.053128882-9</t>
  </si>
  <si>
    <t>BP Aureliano Leite Reserva</t>
  </si>
  <si>
    <t>BP Belmonte - Coordenadoria</t>
  </si>
  <si>
    <t>SMCCSMB0095</t>
  </si>
  <si>
    <t>BP Belmonte - Atendimento</t>
  </si>
  <si>
    <t>SMCCSMB0105</t>
  </si>
  <si>
    <t>10.59.115.10</t>
  </si>
  <si>
    <t>BP Belmonte</t>
  </si>
  <si>
    <t>SMCCSMB</t>
  </si>
  <si>
    <t>SMCCSMB0097</t>
  </si>
  <si>
    <t>10.59.115.12</t>
  </si>
  <si>
    <t>ELITEDESK</t>
  </si>
  <si>
    <t xml:space="preserve"> BRJ0118RXL</t>
  </si>
  <si>
    <t xml:space="preserve"> 001.052260741-0</t>
  </si>
  <si>
    <t>GPHJXA003445</t>
  </si>
  <si>
    <t>001.052262402-1</t>
  </si>
  <si>
    <t>BP Belmonte Reserva</t>
  </si>
  <si>
    <t>BP Brito Broca</t>
  </si>
  <si>
    <t>SMCCSMB0106</t>
  </si>
  <si>
    <t>10.59.118.105</t>
  </si>
  <si>
    <t>001.051568682-3</t>
  </si>
  <si>
    <t>SMCCSMB0110</t>
  </si>
  <si>
    <t>10.59.118.90</t>
  </si>
  <si>
    <t>001.051098872-4</t>
  </si>
  <si>
    <t>001.050531798-1</t>
  </si>
  <si>
    <t>SMCCSMB0107</t>
  </si>
  <si>
    <t>10.59.118.85</t>
  </si>
  <si>
    <t>6D7C2L3</t>
  </si>
  <si>
    <t>001.053125025-2</t>
  </si>
  <si>
    <t>JXWGHH3</t>
  </si>
  <si>
    <t>001.053128886-1</t>
  </si>
  <si>
    <t>SMCCSMB0109</t>
  </si>
  <si>
    <t>10.59.118.98</t>
  </si>
  <si>
    <t>GC7C2L3</t>
  </si>
  <si>
    <t>001.053125009-0</t>
  </si>
  <si>
    <t>DVDGHH3</t>
  </si>
  <si>
    <t>001053128669-9</t>
  </si>
  <si>
    <t>SMCCSMB0113</t>
  </si>
  <si>
    <t>10.59.118.93</t>
  </si>
  <si>
    <t>BRJO118RXY</t>
  </si>
  <si>
    <t>001.052260750-0</t>
  </si>
  <si>
    <t>GNSJ8XA000316</t>
  </si>
  <si>
    <t>001.052262404-8</t>
  </si>
  <si>
    <t>SMCCSMB0108</t>
  </si>
  <si>
    <t>10.59.118.96</t>
  </si>
  <si>
    <t>D580</t>
  </si>
  <si>
    <t>1AF008C3B</t>
  </si>
  <si>
    <t>001.051098860-0</t>
  </si>
  <si>
    <t>E2023PWDB</t>
  </si>
  <si>
    <t>1AFO1SRO4</t>
  </si>
  <si>
    <t>001.0510988937-2</t>
  </si>
  <si>
    <t>BP Brito Broca Reserva</t>
  </si>
  <si>
    <t>BP Camila Cerqueira Cesar</t>
  </si>
  <si>
    <t>SMCCSMB0122</t>
  </si>
  <si>
    <t>10.59.118.222</t>
  </si>
  <si>
    <t>1A9380R63</t>
  </si>
  <si>
    <t>L1742OEU</t>
  </si>
  <si>
    <t>SMCCSMB0119</t>
  </si>
  <si>
    <t>10.59.118.206</t>
  </si>
  <si>
    <t>6T2C2L3</t>
  </si>
  <si>
    <t>001.053124770-7</t>
  </si>
  <si>
    <t>H19FHH3</t>
  </si>
  <si>
    <t>001.053128672-9</t>
  </si>
  <si>
    <t>SMCCSMB0123</t>
  </si>
  <si>
    <t>10.59.118.227</t>
  </si>
  <si>
    <t>3D7C2L3</t>
  </si>
  <si>
    <t>001.053124984-0</t>
  </si>
  <si>
    <t>66DGHH3</t>
  </si>
  <si>
    <t>001.053128420-3</t>
  </si>
  <si>
    <t>SMCCSMB0116</t>
  </si>
  <si>
    <t>10.59.118.215</t>
  </si>
  <si>
    <t>CP2C2L3</t>
  </si>
  <si>
    <t>001.053125491-6</t>
  </si>
  <si>
    <t>19XGHH3</t>
  </si>
  <si>
    <t>001.053128089-5</t>
  </si>
  <si>
    <t>SMCCSMB0118</t>
  </si>
  <si>
    <t>10.59.118.196</t>
  </si>
  <si>
    <t>ELITEDESCK800</t>
  </si>
  <si>
    <t>BRJ0118RYN</t>
  </si>
  <si>
    <t>001.052260763-1</t>
  </si>
  <si>
    <t>24PIU</t>
  </si>
  <si>
    <t>GNSJ8XA000313</t>
  </si>
  <si>
    <t>001.0522602402-1</t>
  </si>
  <si>
    <t>BP Camila Cerqueira Cesar Reserva</t>
  </si>
  <si>
    <t>BP Cassiano Ricardo</t>
  </si>
  <si>
    <t>SMCCSMB0126</t>
  </si>
  <si>
    <t>10.59.101.29</t>
  </si>
  <si>
    <t>1AF008844</t>
  </si>
  <si>
    <t>001.051098809-2</t>
  </si>
  <si>
    <t>1AF01ST64</t>
  </si>
  <si>
    <t>001.051098889-9</t>
  </si>
  <si>
    <t>SMCCSMB0127</t>
  </si>
  <si>
    <t>10.59.101.26</t>
  </si>
  <si>
    <t>1V2C2L3</t>
  </si>
  <si>
    <t>001.053124797-5</t>
  </si>
  <si>
    <t>FWHFHH3</t>
  </si>
  <si>
    <t>001.053128922-1</t>
  </si>
  <si>
    <t>SMCCSMB0133</t>
  </si>
  <si>
    <t>10.59.101.34</t>
  </si>
  <si>
    <t>1A399WC47</t>
  </si>
  <si>
    <t>001.050457804-6</t>
  </si>
  <si>
    <t>SAMSUNG</t>
  </si>
  <si>
    <t>B1940W</t>
  </si>
  <si>
    <t>0274HQABC03721M</t>
  </si>
  <si>
    <t>SMCCSMB0135</t>
  </si>
  <si>
    <t>10.59.101.17</t>
  </si>
  <si>
    <t>BRJ0018RZ5</t>
  </si>
  <si>
    <t>001.052262415-3</t>
  </si>
  <si>
    <t>GSNJ8XA004079</t>
  </si>
  <si>
    <t>SMCCSMB0130</t>
  </si>
  <si>
    <t>10.59.101.33</t>
  </si>
  <si>
    <t>GB7C2L3</t>
  </si>
  <si>
    <t>001.053124980-7</t>
  </si>
  <si>
    <t>HY8FHH3</t>
  </si>
  <si>
    <t>001.053128658-3</t>
  </si>
  <si>
    <t>SMCCSMB0132</t>
  </si>
  <si>
    <t>10.59.101.22</t>
  </si>
  <si>
    <t>4T2C2L3</t>
  </si>
  <si>
    <t>001.053124752-9</t>
  </si>
  <si>
    <t>62FGHH3</t>
  </si>
  <si>
    <t>001.053128389-4</t>
  </si>
  <si>
    <t>BP Cassiano Ricardo Reserva</t>
  </si>
  <si>
    <t>BP Castro Alves</t>
  </si>
  <si>
    <t>SMCCSMB0138</t>
  </si>
  <si>
    <t>10.59.129.81</t>
  </si>
  <si>
    <t>1AF008H4V</t>
  </si>
  <si>
    <t>001.051098849-0</t>
  </si>
  <si>
    <t>E2023PWD</t>
  </si>
  <si>
    <t>1AF01T21D</t>
  </si>
  <si>
    <t>001.051098926-7</t>
  </si>
  <si>
    <t>SMCCSMB0136</t>
  </si>
  <si>
    <t>10.59.129.90</t>
  </si>
  <si>
    <t>OPTIPLEX3079</t>
  </si>
  <si>
    <t>9C7C2L3</t>
  </si>
  <si>
    <t>001.053125022-8</t>
  </si>
  <si>
    <t>641FHH3</t>
  </si>
  <si>
    <t>001.01053128416-5</t>
  </si>
  <si>
    <t>SMCCSMB0137</t>
  </si>
  <si>
    <t>10.59.129.93</t>
  </si>
  <si>
    <t>BRJ011BRY8</t>
  </si>
  <si>
    <t>001.052260756-9</t>
  </si>
  <si>
    <t>GNSJ8XA000115</t>
  </si>
  <si>
    <t>001.052262383-1</t>
  </si>
  <si>
    <t>SMCCSMB0139</t>
  </si>
  <si>
    <t>1AF008C5L</t>
  </si>
  <si>
    <t>E2021PX</t>
  </si>
  <si>
    <t>BP Castro Alves Reserva</t>
  </si>
  <si>
    <t>BP Chacara do Castelo</t>
  </si>
  <si>
    <t>Falta Dell</t>
  </si>
  <si>
    <t>BP Chacara do Castelo Reserva</t>
  </si>
  <si>
    <t>BP Clarisse Lispector</t>
  </si>
  <si>
    <t>SMCCSMBC0160</t>
  </si>
  <si>
    <t>10.59.123.89</t>
  </si>
  <si>
    <t>1AF008G5X</t>
  </si>
  <si>
    <t>001.05198834-1</t>
  </si>
  <si>
    <t>1AF01SM0P</t>
  </si>
  <si>
    <t>SMCCSMBC0159</t>
  </si>
  <si>
    <t>10.59.123.77</t>
  </si>
  <si>
    <t>FQ2C2L3</t>
  </si>
  <si>
    <t>001.053125489-4</t>
  </si>
  <si>
    <t>FRQFHH3</t>
  </si>
  <si>
    <t>001.053128396-7</t>
  </si>
  <si>
    <t>SMCCSMBC0157</t>
  </si>
  <si>
    <t>10.59.123.75</t>
  </si>
  <si>
    <t>7D7C2L3</t>
  </si>
  <si>
    <t>001.053125010-4</t>
  </si>
  <si>
    <t>JX5GHH3</t>
  </si>
  <si>
    <t>001.053128890-0</t>
  </si>
  <si>
    <t>SMCCSMB0158</t>
  </si>
  <si>
    <t>10.59.123.82</t>
  </si>
  <si>
    <t>BRJ0118RXX</t>
  </si>
  <si>
    <t>001.052260749-6</t>
  </si>
  <si>
    <t>GNSJ8XA000472</t>
  </si>
  <si>
    <t>001.052262429-3</t>
  </si>
  <si>
    <t>BP Clarisse Lispector Reserva</t>
  </si>
  <si>
    <t>BP Cora Coralina</t>
  </si>
  <si>
    <t>SMCCSMB0170</t>
  </si>
  <si>
    <t>10.59.115.207</t>
  </si>
  <si>
    <t>1AF008J2R</t>
  </si>
  <si>
    <t>E2023PWD8</t>
  </si>
  <si>
    <t>1AF01SJ7F</t>
  </si>
  <si>
    <t>001.0519814-3</t>
  </si>
  <si>
    <t>SMCCSMB0168</t>
  </si>
  <si>
    <t>10.59.115.248</t>
  </si>
  <si>
    <t>BRJ0118RXS</t>
  </si>
  <si>
    <t>001.052260745-3</t>
  </si>
  <si>
    <t>GNSJ8XA000533</t>
  </si>
  <si>
    <t>001.052262436-2</t>
  </si>
  <si>
    <t>SMCCSMB0165</t>
  </si>
  <si>
    <t>10.59.115.209</t>
  </si>
  <si>
    <t>1C7C2L3</t>
  </si>
  <si>
    <t>001.053124993-9</t>
  </si>
  <si>
    <t>DO2FHH3</t>
  </si>
  <si>
    <t>001.053128133-6</t>
  </si>
  <si>
    <t>SMCCSMB0169</t>
  </si>
  <si>
    <t>10.59.115.213</t>
  </si>
  <si>
    <t>12166045019290046</t>
  </si>
  <si>
    <t>001.051568709-9</t>
  </si>
  <si>
    <t>L1742PWDB</t>
  </si>
  <si>
    <t>PESQ-01</t>
  </si>
  <si>
    <t>BP Cora Coralina Reserva</t>
  </si>
  <si>
    <t>BP Erico Verissimo</t>
  </si>
  <si>
    <t>SMCCSMB0176</t>
  </si>
  <si>
    <t>10.59.116.85</t>
  </si>
  <si>
    <t>2V2C2L3</t>
  </si>
  <si>
    <t>001.053124751-0</t>
  </si>
  <si>
    <t>66MGHH3</t>
  </si>
  <si>
    <t>001.053128388-6</t>
  </si>
  <si>
    <t>SMCCSMB0177</t>
  </si>
  <si>
    <t>10.59.116.89</t>
  </si>
  <si>
    <t>1AF008K80</t>
  </si>
  <si>
    <t>001.051008818-0</t>
  </si>
  <si>
    <t>1AF01T30B</t>
  </si>
  <si>
    <t>001.051098890-2</t>
  </si>
  <si>
    <t>SMCCSMB0178</t>
  </si>
  <si>
    <t>10.59.116.76</t>
  </si>
  <si>
    <t>OPIPLEX3080</t>
  </si>
  <si>
    <t>3YZ1M2L3</t>
  </si>
  <si>
    <t>001.053125272-7</t>
  </si>
  <si>
    <t>D4NGHH3</t>
  </si>
  <si>
    <t>001.053128134-4</t>
  </si>
  <si>
    <t>SMCCSMB0179</t>
  </si>
  <si>
    <t>10.59.116.90</t>
  </si>
  <si>
    <t>DB7C2L3</t>
  </si>
  <si>
    <t>001.053124986-6</t>
  </si>
  <si>
    <t>JVCGHH3</t>
  </si>
  <si>
    <t>001.053128386-0</t>
  </si>
  <si>
    <t>SMCCSMB0182</t>
  </si>
  <si>
    <t>10.59.116.99</t>
  </si>
  <si>
    <t>BRJ0118RWZ</t>
  </si>
  <si>
    <t>001.052260732-1</t>
  </si>
  <si>
    <t>GNSJ8XA000435</t>
  </si>
  <si>
    <t>001.052262422-8</t>
  </si>
  <si>
    <t>BP Erico Verissimo Reserva</t>
  </si>
  <si>
    <t>BP Gilberto Freyre</t>
  </si>
  <si>
    <t>SMCCSMB0188</t>
  </si>
  <si>
    <t>10.59.121.203</t>
  </si>
  <si>
    <t>7P2C2L3</t>
  </si>
  <si>
    <t>001.053125490-8</t>
  </si>
  <si>
    <t>FWTGHH3</t>
  </si>
  <si>
    <t>001.01053128927-2</t>
  </si>
  <si>
    <t>SMCCSMB0192</t>
  </si>
  <si>
    <t>10.59.121.218</t>
  </si>
  <si>
    <t>1H2C2L3</t>
  </si>
  <si>
    <t>001.053124796-0</t>
  </si>
  <si>
    <t>DW7FHH3</t>
  </si>
  <si>
    <t>001.053128083-6</t>
  </si>
  <si>
    <t>SMCCSMB0190</t>
  </si>
  <si>
    <t>PRJ0118RY9</t>
  </si>
  <si>
    <t>001.052260757-7</t>
  </si>
  <si>
    <t>GNSJ8XA000448</t>
  </si>
  <si>
    <t>001.052282424-2</t>
  </si>
  <si>
    <t>SMCCSMB0191</t>
  </si>
  <si>
    <t>10.59.121.215</t>
  </si>
  <si>
    <t>1AF00896H</t>
  </si>
  <si>
    <t>001.051098815-5</t>
  </si>
  <si>
    <t>Positivo</t>
  </si>
  <si>
    <t>BP Gilberto Freyre Reserva</t>
  </si>
  <si>
    <t>BP Hans Christian Andersen</t>
  </si>
  <si>
    <t>SMCCSMB0198</t>
  </si>
  <si>
    <t>10.59.112.215</t>
  </si>
  <si>
    <t>DV2C2L3</t>
  </si>
  <si>
    <t>001.053124738-3</t>
  </si>
  <si>
    <t>FWLGHH3</t>
  </si>
  <si>
    <t>001.053128898-5</t>
  </si>
  <si>
    <t>SMCCSMB0196</t>
  </si>
  <si>
    <t>10.59.112.216</t>
  </si>
  <si>
    <t>2Q2C2L3</t>
  </si>
  <si>
    <t>001.053125488-6</t>
  </si>
  <si>
    <t>FHDGHH3</t>
  </si>
  <si>
    <t>001.053128917-5</t>
  </si>
  <si>
    <t>SMCCSMB0199</t>
  </si>
  <si>
    <t>10.59.112.229</t>
  </si>
  <si>
    <t>12166045019290003</t>
  </si>
  <si>
    <t>001.0510568663-7</t>
  </si>
  <si>
    <t xml:space="preserve">SAMSUNG </t>
  </si>
  <si>
    <t>0274HQABC03810j</t>
  </si>
  <si>
    <t>SMCCSMB0200</t>
  </si>
  <si>
    <t>10.59.112.226</t>
  </si>
  <si>
    <t>FQ3C2L3</t>
  </si>
  <si>
    <t>001.053124965-3</t>
  </si>
  <si>
    <t>DY4GHH3</t>
  </si>
  <si>
    <t>001.053128113-1</t>
  </si>
  <si>
    <t>SMCCSMB0202</t>
  </si>
  <si>
    <t>10.59.112.230</t>
  </si>
  <si>
    <t>BRJ0118S1B</t>
  </si>
  <si>
    <t>001.052280808-5</t>
  </si>
  <si>
    <t>GNSJ7XA004134</t>
  </si>
  <si>
    <t>001.052282358-0</t>
  </si>
  <si>
    <t>SMCCSMB0203</t>
  </si>
  <si>
    <t>10.59.112.219</t>
  </si>
  <si>
    <t>JP3C2L3</t>
  </si>
  <si>
    <t>001.053124932-7</t>
  </si>
  <si>
    <t>94HFHH3</t>
  </si>
  <si>
    <t>001.053128347-9</t>
  </si>
  <si>
    <t>SMCCSMB0201</t>
  </si>
  <si>
    <t>10.59.112.210</t>
  </si>
  <si>
    <t>001.050457004-6</t>
  </si>
  <si>
    <t>1A832KV81</t>
  </si>
  <si>
    <t>001.050680153-4</t>
  </si>
  <si>
    <t>BP Hans Christian Andersen Reserva</t>
  </si>
  <si>
    <t>BP Helena Silveira</t>
  </si>
  <si>
    <t>SMCCSMB0212</t>
  </si>
  <si>
    <t>10.59.122.211</t>
  </si>
  <si>
    <t>BRJ011RXG</t>
  </si>
  <si>
    <t>001.052260739-9</t>
  </si>
  <si>
    <t>GNSJ8XA000160</t>
  </si>
  <si>
    <t>001.052262394-7</t>
  </si>
  <si>
    <t>SMCCSMB0209</t>
  </si>
  <si>
    <t>10.59.122.207</t>
  </si>
  <si>
    <t>5D7C2L3</t>
  </si>
  <si>
    <t>001.053125026-0</t>
  </si>
  <si>
    <t>DV1FHH3</t>
  </si>
  <si>
    <t>001.053128918-3</t>
  </si>
  <si>
    <t>SMCCSMB0208</t>
  </si>
  <si>
    <t>10.59.122.204</t>
  </si>
  <si>
    <t>1D7C2L3</t>
  </si>
  <si>
    <t>001.053124994-7</t>
  </si>
  <si>
    <t>D2HFHH3</t>
  </si>
  <si>
    <t>001.053128160-3</t>
  </si>
  <si>
    <t>SMCCSMB0207</t>
  </si>
  <si>
    <t>10.59.122.206</t>
  </si>
  <si>
    <t>9V2C2L3</t>
  </si>
  <si>
    <t>001.053154748-0</t>
  </si>
  <si>
    <t>BRFFHH3</t>
  </si>
  <si>
    <t>001.053128919-1</t>
  </si>
  <si>
    <t>SMCCSMB0210</t>
  </si>
  <si>
    <t>10.59.122.220</t>
  </si>
  <si>
    <t>DELL-IN</t>
  </si>
  <si>
    <t>INSPIRON23</t>
  </si>
  <si>
    <t>1SW4542</t>
  </si>
  <si>
    <t>001.051225649-6</t>
  </si>
  <si>
    <t>ALL IN ONE</t>
  </si>
  <si>
    <t>BP Helena Silveira Reserva</t>
  </si>
  <si>
    <t>BP Jaime Cortez</t>
  </si>
  <si>
    <t>10.59.16.74</t>
  </si>
  <si>
    <t>BRJ0118S25</t>
  </si>
  <si>
    <t>001.052260811-5</t>
  </si>
  <si>
    <t>GNSJ8XA0001119</t>
  </si>
  <si>
    <t>001.052262387-4</t>
  </si>
  <si>
    <t>BP Jamil Almansur Haddad</t>
  </si>
  <si>
    <t>SMCCSMB0219</t>
  </si>
  <si>
    <t>10.59.128.207</t>
  </si>
  <si>
    <t>HB7C2L3</t>
  </si>
  <si>
    <t>001.053124996-3</t>
  </si>
  <si>
    <t>FWPFHH3</t>
  </si>
  <si>
    <t>001.053128908-6</t>
  </si>
  <si>
    <t>SMCCSMB0218</t>
  </si>
  <si>
    <t>10.59.128.221</t>
  </si>
  <si>
    <t>BP2C2L3</t>
  </si>
  <si>
    <t>001.053125513-0</t>
  </si>
  <si>
    <t>9LYFHH3</t>
  </si>
  <si>
    <t>001.053128500-5</t>
  </si>
  <si>
    <t>SMCCSMB0220</t>
  </si>
  <si>
    <t>10.59.128.236</t>
  </si>
  <si>
    <t>BRJ0118S31</t>
  </si>
  <si>
    <t>001.052260818-2</t>
  </si>
  <si>
    <t>GNSJ7XA004157</t>
  </si>
  <si>
    <t>001.052262368-8</t>
  </si>
  <si>
    <t>SMCCSMB0217</t>
  </si>
  <si>
    <t>10.59.128.200</t>
  </si>
  <si>
    <t>DN2C2L3</t>
  </si>
  <si>
    <t>001.053125504-1</t>
  </si>
  <si>
    <t>H3DGHH3</t>
  </si>
  <si>
    <t>001.053128653-2</t>
  </si>
  <si>
    <t>BP Jamil Almansur Hadda Reserva</t>
  </si>
  <si>
    <t>BP José Mauro de Vasconselos</t>
  </si>
  <si>
    <t>SMCCSMB0233</t>
  </si>
  <si>
    <t>10.59.131.252</t>
  </si>
  <si>
    <t>SHAKOON</t>
  </si>
  <si>
    <t>001.051098866-0</t>
  </si>
  <si>
    <t>SMCCSMB0226</t>
  </si>
  <si>
    <t>10.59.131.201</t>
  </si>
  <si>
    <t>001.051568706-4</t>
  </si>
  <si>
    <t>W1946PW</t>
  </si>
  <si>
    <t>SMCCSMB0235</t>
  </si>
  <si>
    <t>10.59.131.231</t>
  </si>
  <si>
    <t>001.051568717-0</t>
  </si>
  <si>
    <t>E2023PW08</t>
  </si>
  <si>
    <t>1AF01ST3P</t>
  </si>
  <si>
    <t>001.051098881-3</t>
  </si>
  <si>
    <t>SMCCSMB0230</t>
  </si>
  <si>
    <t>10.59.131.248</t>
  </si>
  <si>
    <t>JYZM2L3</t>
  </si>
  <si>
    <t>001.053125243-3</t>
  </si>
  <si>
    <t>067NW4</t>
  </si>
  <si>
    <t>001.053128670-2</t>
  </si>
  <si>
    <t>SMCCSMB0234</t>
  </si>
  <si>
    <t>10.59.131.223</t>
  </si>
  <si>
    <t>BRJ0118523</t>
  </si>
  <si>
    <t>001.052260810-7</t>
  </si>
  <si>
    <t>GNSJ8XA000415</t>
  </si>
  <si>
    <t>BP José Mauro de Vasconselos Reserva</t>
  </si>
  <si>
    <t>BP José Paulo Paes</t>
  </si>
  <si>
    <t>SMCCSMB0236</t>
  </si>
  <si>
    <t>10.59.101.133</t>
  </si>
  <si>
    <t>08160603019290229'</t>
  </si>
  <si>
    <t>001.051568707-2</t>
  </si>
  <si>
    <t>b1940w</t>
  </si>
  <si>
    <t>0274hqabc00453d</t>
  </si>
  <si>
    <t>SMCCSMB0244</t>
  </si>
  <si>
    <t>10.59.101.168</t>
  </si>
  <si>
    <t>BRJ0118RZX</t>
  </si>
  <si>
    <t>001.052260792-5</t>
  </si>
  <si>
    <t>GNSJ7XA004160</t>
  </si>
  <si>
    <t>001.052262370-0</t>
  </si>
  <si>
    <t>SMCCSMB0238</t>
  </si>
  <si>
    <t>10.59.101.170</t>
  </si>
  <si>
    <t>"08160603019290237"</t>
  </si>
  <si>
    <t>001.051098879-1</t>
  </si>
  <si>
    <t>0274hqac200484e</t>
  </si>
  <si>
    <t>SMCCSMB0241</t>
  </si>
  <si>
    <t>10.59.101.178</t>
  </si>
  <si>
    <t>748FHH3</t>
  </si>
  <si>
    <t>001.053128402-5</t>
  </si>
  <si>
    <t>SMCCSMB0237</t>
  </si>
  <si>
    <t>10.59.101.177</t>
  </si>
  <si>
    <t>001.051568670-0</t>
  </si>
  <si>
    <t>615GHH3</t>
  </si>
  <si>
    <t>001.053128413-0</t>
  </si>
  <si>
    <t>BP José Paulo Pae Reserva</t>
  </si>
  <si>
    <t>BP Jovina Rocha</t>
  </si>
  <si>
    <t>SMCCSMB0253</t>
  </si>
  <si>
    <t>10.59.132.89</t>
  </si>
  <si>
    <t>2XZM2L3</t>
  </si>
  <si>
    <t>001.053125234-4</t>
  </si>
  <si>
    <t>D4JFHH3</t>
  </si>
  <si>
    <t>001.053128144-1</t>
  </si>
  <si>
    <t>SMCCSMB0250</t>
  </si>
  <si>
    <t>10.59.132.75</t>
  </si>
  <si>
    <t>FT2C2L3</t>
  </si>
  <si>
    <t>001.053124764-2</t>
  </si>
  <si>
    <t>H29FHH3</t>
  </si>
  <si>
    <t>001.053128659-1</t>
  </si>
  <si>
    <t>SMCCSMB0247</t>
  </si>
  <si>
    <t>10.59.132.78</t>
  </si>
  <si>
    <t>H97C2L3</t>
  </si>
  <si>
    <t>001.053125005-8</t>
  </si>
  <si>
    <t>FRMGHH3</t>
  </si>
  <si>
    <t>001.053128428-9</t>
  </si>
  <si>
    <t>SMCCSMB0246</t>
  </si>
  <si>
    <t>10.59.132.83</t>
  </si>
  <si>
    <t>1AF008D7Y</t>
  </si>
  <si>
    <t>1AF01T25X</t>
  </si>
  <si>
    <t>001.051098916-0</t>
  </si>
  <si>
    <t>SMCPESQ1</t>
  </si>
  <si>
    <t>10.59.132.84</t>
  </si>
  <si>
    <t>D550</t>
  </si>
  <si>
    <t>1A5961M0B</t>
  </si>
  <si>
    <t>0274HQABC03812W</t>
  </si>
  <si>
    <t>SMCCSMB0252</t>
  </si>
  <si>
    <t>10.59.132.93</t>
  </si>
  <si>
    <t>BRJ0118RZJ</t>
  </si>
  <si>
    <t>001.052260782-8</t>
  </si>
  <si>
    <t>GNSJ8XA000469</t>
  </si>
  <si>
    <t>001.052262427-7</t>
  </si>
  <si>
    <t>BP Jovina Rocha Reserva</t>
  </si>
  <si>
    <t>BP Lenyra Fracaroli</t>
  </si>
  <si>
    <t>SMCCSMB0257</t>
  </si>
  <si>
    <t>10.59.131.90</t>
  </si>
  <si>
    <t>2P2C2L3</t>
  </si>
  <si>
    <t>001.053125509-2</t>
  </si>
  <si>
    <t>HYDFHH3</t>
  </si>
  <si>
    <t>001.053128660-5</t>
  </si>
  <si>
    <t>SMCCSMB0258</t>
  </si>
  <si>
    <t>10.59.131.78</t>
  </si>
  <si>
    <t>CD7C2L3</t>
  </si>
  <si>
    <t>001.050488351-7</t>
  </si>
  <si>
    <t>JSVGHH3</t>
  </si>
  <si>
    <t>001.053128674-5</t>
  </si>
  <si>
    <t>SMCCSMB0260</t>
  </si>
  <si>
    <t>10.59.131.119</t>
  </si>
  <si>
    <t>BRJ0118S2J</t>
  </si>
  <si>
    <t>001.052260814-0</t>
  </si>
  <si>
    <t>GNSJ7XA004080</t>
  </si>
  <si>
    <t>001.052262346-7</t>
  </si>
  <si>
    <t>BP Lenyra Fracarol Reserva</t>
  </si>
  <si>
    <t>SMCCSMB0261</t>
  </si>
  <si>
    <t>10.59.131.93</t>
  </si>
  <si>
    <t>CS3C2L3</t>
  </si>
  <si>
    <t>001.053125210-7</t>
  </si>
  <si>
    <t>91FGHH3</t>
  </si>
  <si>
    <t>001.053128367-3</t>
  </si>
  <si>
    <t>BP Malba Tahan</t>
  </si>
  <si>
    <t>SMCCSMB0266</t>
  </si>
  <si>
    <t>10.59.114.86</t>
  </si>
  <si>
    <t>1AFOO879Q</t>
  </si>
  <si>
    <t>001.051098841-4</t>
  </si>
  <si>
    <t>SMCCSMB0267</t>
  </si>
  <si>
    <t>SMCCSMB0269</t>
  </si>
  <si>
    <t>10.59.114.79</t>
  </si>
  <si>
    <t>FC7C2L3</t>
  </si>
  <si>
    <t>001.053124991-2</t>
  </si>
  <si>
    <t>15GHH3</t>
  </si>
  <si>
    <t>001.053128171-9</t>
  </si>
  <si>
    <t>SMCCSMB0270</t>
  </si>
  <si>
    <t>10.59.114.82</t>
  </si>
  <si>
    <t>12166045010290100'</t>
  </si>
  <si>
    <t>001.051568689-0</t>
  </si>
  <si>
    <t>i95lm00005</t>
  </si>
  <si>
    <t>SMCCSMB0268</t>
  </si>
  <si>
    <t>10.59.114.97</t>
  </si>
  <si>
    <t>GNSJ8XA000057</t>
  </si>
  <si>
    <t>001.052260812-3</t>
  </si>
  <si>
    <t>001.052262379-3</t>
  </si>
  <si>
    <t>BP Malba Taha Reserva</t>
  </si>
  <si>
    <t>BP Marco Rey</t>
  </si>
  <si>
    <t>SMCCSMB0277</t>
  </si>
  <si>
    <t>10.59.115.78</t>
  </si>
  <si>
    <t>JT2C2L3</t>
  </si>
  <si>
    <t>001.053124765-0</t>
  </si>
  <si>
    <t>JXYFHH3</t>
  </si>
  <si>
    <t>001.053128894-2</t>
  </si>
  <si>
    <t>SMCCSMB0283</t>
  </si>
  <si>
    <t>10.59.115.81</t>
  </si>
  <si>
    <t>CYZM2L3</t>
  </si>
  <si>
    <t>001.053125268-9</t>
  </si>
  <si>
    <t>BNWFHH3</t>
  </si>
  <si>
    <t>011.053128631-1</t>
  </si>
  <si>
    <t>SMCCSMB0282</t>
  </si>
  <si>
    <t>10.59.115.82</t>
  </si>
  <si>
    <t>7T2C2L3</t>
  </si>
  <si>
    <t>001.053124768-5</t>
  </si>
  <si>
    <t>2KYFHH3</t>
  </si>
  <si>
    <t>001.053128095-0</t>
  </si>
  <si>
    <t>SMCCSMB0281</t>
  </si>
  <si>
    <t>10.59.115.93</t>
  </si>
  <si>
    <t>BRJ011BRYT</t>
  </si>
  <si>
    <t>001.052260764-0</t>
  </si>
  <si>
    <t>GNSJ8XA004076</t>
  </si>
  <si>
    <t>001.052262343-2</t>
  </si>
  <si>
    <t>SMCCSMB0285</t>
  </si>
  <si>
    <t>10.59.115.86</t>
  </si>
  <si>
    <t>DD7C2L3</t>
  </si>
  <si>
    <t>001.053124987-4</t>
  </si>
  <si>
    <t>BNBGHH3</t>
  </si>
  <si>
    <t>001.053128650-8</t>
  </si>
  <si>
    <t>SMCCSMB0284</t>
  </si>
  <si>
    <t>1A185HC1F</t>
  </si>
  <si>
    <t>712-SA7</t>
  </si>
  <si>
    <t>3397BDA000731</t>
  </si>
  <si>
    <t>BP Marco Re Reserva</t>
  </si>
  <si>
    <t>BP Menotti del Picchia</t>
  </si>
  <si>
    <t>SMCCSMB0291</t>
  </si>
  <si>
    <t>10.59.119.223</t>
  </si>
  <si>
    <t>BRJ0118RZ2</t>
  </si>
  <si>
    <t>001.052260772-0</t>
  </si>
  <si>
    <t>GNSJ8XA000303</t>
  </si>
  <si>
    <t>001.052262399-8</t>
  </si>
  <si>
    <t>SMCCSMB0292</t>
  </si>
  <si>
    <t>10.59.119.203</t>
  </si>
  <si>
    <t>6R2C2L3</t>
  </si>
  <si>
    <t>001.053125515-7</t>
  </si>
  <si>
    <t>65FGHH3</t>
  </si>
  <si>
    <t>001.053128400-9</t>
  </si>
  <si>
    <t>SMCCSMB0287</t>
  </si>
  <si>
    <t>10.59.119.235</t>
  </si>
  <si>
    <t>HT2C2L3</t>
  </si>
  <si>
    <t>001.053124747-2</t>
  </si>
  <si>
    <t>FW0FHH3</t>
  </si>
  <si>
    <t>001.053128903-5</t>
  </si>
  <si>
    <t>SMCCSMB0294</t>
  </si>
  <si>
    <t>10.59.119.230</t>
  </si>
  <si>
    <t>001.051568675-0</t>
  </si>
  <si>
    <t>1AF01SJ3V</t>
  </si>
  <si>
    <t>001.051098893-7</t>
  </si>
  <si>
    <t>BP Menotti del Picchia Reserva</t>
  </si>
  <si>
    <t>BP Milton Santos</t>
  </si>
  <si>
    <t>SMCCSMB0302</t>
  </si>
  <si>
    <t>10.59.133.222</t>
  </si>
  <si>
    <t>BRJ0118RXM</t>
  </si>
  <si>
    <t>001.052260742-9</t>
  </si>
  <si>
    <t>GNSJ7XA000164</t>
  </si>
  <si>
    <t>001.052262395-5</t>
  </si>
  <si>
    <t>SMCCSMB0296</t>
  </si>
  <si>
    <t>10.59.113.240</t>
  </si>
  <si>
    <t>1218804501929022'</t>
  </si>
  <si>
    <t>001.051568703-0</t>
  </si>
  <si>
    <t>0274HQAC302929N</t>
  </si>
  <si>
    <t>BP Milton Santo Reserva</t>
  </si>
  <si>
    <t>BP Monteiro Lobato</t>
  </si>
  <si>
    <t>SMCCSMB0309</t>
  </si>
  <si>
    <t>10.59.24.77</t>
  </si>
  <si>
    <t xml:space="preserve">9XZM2L3      </t>
  </si>
  <si>
    <t>0010531252590</t>
  </si>
  <si>
    <t>JS7FHH3</t>
  </si>
  <si>
    <t>1053128641-9</t>
  </si>
  <si>
    <t>SMCCSMB0321</t>
  </si>
  <si>
    <t>10.59.24.76</t>
  </si>
  <si>
    <t>DQ2C2L3</t>
  </si>
  <si>
    <t>0010531255238</t>
  </si>
  <si>
    <t>HZCGHH3</t>
  </si>
  <si>
    <t>1053128677-0</t>
  </si>
  <si>
    <t>SMCCSMB0322</t>
  </si>
  <si>
    <t>10.59.24.119</t>
  </si>
  <si>
    <t>GP2C2L3</t>
  </si>
  <si>
    <t>0010531289019</t>
  </si>
  <si>
    <t>55QFHH3</t>
  </si>
  <si>
    <t>1053128901-9</t>
  </si>
  <si>
    <t>SMCCSMB0314</t>
  </si>
  <si>
    <t>10.59.24.79</t>
  </si>
  <si>
    <t>9YZM2L3</t>
  </si>
  <si>
    <t>0010531252417</t>
  </si>
  <si>
    <t>HZQFHH3</t>
  </si>
  <si>
    <t>1053128634-6</t>
  </si>
  <si>
    <t>SMCCSMB0329</t>
  </si>
  <si>
    <t>10.59.24.83</t>
  </si>
  <si>
    <t xml:space="preserve">4V2C2L3 </t>
  </si>
  <si>
    <t>0010585503255</t>
  </si>
  <si>
    <t>BNRHHH3</t>
  </si>
  <si>
    <t>1053128652-4</t>
  </si>
  <si>
    <t>SMCCSMB0311</t>
  </si>
  <si>
    <t>10.59.24.71</t>
  </si>
  <si>
    <t xml:space="preserve">9ZZM2L3 </t>
  </si>
  <si>
    <t>0010531252581</t>
  </si>
  <si>
    <t>HYQFHH3</t>
  </si>
  <si>
    <t>1053128629-0</t>
  </si>
  <si>
    <t>SMCCSMB0328</t>
  </si>
  <si>
    <t>10.59.24.93</t>
  </si>
  <si>
    <t>J97C2L3</t>
  </si>
  <si>
    <t>0010531250210</t>
  </si>
  <si>
    <t>H22FHH3</t>
  </si>
  <si>
    <t>1053128661-3</t>
  </si>
  <si>
    <t>SMCCSMB0324</t>
  </si>
  <si>
    <t>10.59.24.110</t>
  </si>
  <si>
    <t xml:space="preserve">5P2C2L3  </t>
  </si>
  <si>
    <t>0010531255033</t>
  </si>
  <si>
    <t>JSYFHH3</t>
  </si>
  <si>
    <t>1053128638-9</t>
  </si>
  <si>
    <t>SMCCSMB0319</t>
  </si>
  <si>
    <t>10.59.24.14</t>
  </si>
  <si>
    <t xml:space="preserve">HC7C2L3  </t>
  </si>
  <si>
    <t>0010531250236</t>
  </si>
  <si>
    <t>JS1 FHH3</t>
  </si>
  <si>
    <t>1053128678-8</t>
  </si>
  <si>
    <t>SMCCSMB0323</t>
  </si>
  <si>
    <t>10.59.24.8</t>
  </si>
  <si>
    <t>3V2C2L3</t>
  </si>
  <si>
    <t>0010531247758</t>
  </si>
  <si>
    <t>H2YFHH3</t>
  </si>
  <si>
    <t>1053128662-1</t>
  </si>
  <si>
    <t>SMCCSMB0316</t>
  </si>
  <si>
    <t>10.59.24.12</t>
  </si>
  <si>
    <t>8R2C2L3</t>
  </si>
  <si>
    <t>0010531254983</t>
  </si>
  <si>
    <t>BRNFHH3</t>
  </si>
  <si>
    <t>1053128880-2</t>
  </si>
  <si>
    <t>SMCCSMB0327</t>
  </si>
  <si>
    <t>10.59.24.11</t>
  </si>
  <si>
    <t>BT2C2L3</t>
  </si>
  <si>
    <t>0010531247502</t>
  </si>
  <si>
    <t>JR5GHH3</t>
  </si>
  <si>
    <t>10531286761</t>
  </si>
  <si>
    <t>SMCCSMB0326</t>
  </si>
  <si>
    <t>DXZM2L3</t>
  </si>
  <si>
    <t>0010531252379</t>
  </si>
  <si>
    <t>74YFHH3</t>
  </si>
  <si>
    <t>1053128393-2</t>
  </si>
  <si>
    <t>SMCCSMB0346</t>
  </si>
  <si>
    <t>10.59.24.13</t>
  </si>
  <si>
    <t>8V2C2L3</t>
  </si>
  <si>
    <t>0010531247316</t>
  </si>
  <si>
    <t>HYYFHH3</t>
  </si>
  <si>
    <t>1053128633-8</t>
  </si>
  <si>
    <t>SMCCSMB0307</t>
  </si>
  <si>
    <t>1AF00881P</t>
  </si>
  <si>
    <t>001.051098517-1</t>
  </si>
  <si>
    <t>001.050457788-2</t>
  </si>
  <si>
    <t>N UTILIZA INTERNET</t>
  </si>
  <si>
    <t>1AF00880K</t>
  </si>
  <si>
    <t>001.051098856-2</t>
  </si>
  <si>
    <t>001.051098932-1</t>
  </si>
  <si>
    <t>SMCCSMB0330</t>
  </si>
  <si>
    <t>10.59.24.200</t>
  </si>
  <si>
    <t>BRJ0118RXR</t>
  </si>
  <si>
    <t>0010522623521</t>
  </si>
  <si>
    <t xml:space="preserve"> GNSJ7XA004115</t>
  </si>
  <si>
    <t>001.052260744-5</t>
  </si>
  <si>
    <t xml:space="preserve">BP Monteio Lobato </t>
  </si>
  <si>
    <t>SMCCSMB0331</t>
  </si>
  <si>
    <t>10.59.24.82</t>
  </si>
  <si>
    <t>8160603019290210'</t>
  </si>
  <si>
    <t>001.051568705-6</t>
  </si>
  <si>
    <t>LG/´POSITIVO</t>
  </si>
  <si>
    <t>W1946P/E211PX</t>
  </si>
  <si>
    <t>1A388916W / 31125183</t>
  </si>
  <si>
    <t>001.004632266-2 / SN</t>
  </si>
  <si>
    <t>BP Monteio Lobato Reserva</t>
  </si>
  <si>
    <t>BP Mário Schenberg - Protocolo</t>
  </si>
  <si>
    <t>SMCCSMB1451</t>
  </si>
  <si>
    <t>10.59.208.61</t>
  </si>
  <si>
    <t>5B7C2L3</t>
  </si>
  <si>
    <t>001.053124990-4</t>
  </si>
  <si>
    <t>FWMGHH3</t>
  </si>
  <si>
    <t>001.053128887-0</t>
  </si>
  <si>
    <t>BP Mário Schenberg - Recepção</t>
  </si>
  <si>
    <t>SMCCSMB0364</t>
  </si>
  <si>
    <t>10.59.208.52</t>
  </si>
  <si>
    <t>8P2C2L3</t>
  </si>
  <si>
    <t>001.053125511-4</t>
  </si>
  <si>
    <t>1C9FHH3</t>
  </si>
  <si>
    <t>001.053128888-8</t>
  </si>
  <si>
    <t>SMCCSMB0360</t>
  </si>
  <si>
    <t>10.59.208.55</t>
  </si>
  <si>
    <t>F97C2L3</t>
  </si>
  <si>
    <t>001.053125012-0</t>
  </si>
  <si>
    <t>JX8FHH3</t>
  </si>
  <si>
    <t>001.053128893-4</t>
  </si>
  <si>
    <t>BP Mário Schenberg - Subsolo</t>
  </si>
  <si>
    <t>SMCCSMB0361</t>
  </si>
  <si>
    <t>10.59.208.73</t>
  </si>
  <si>
    <t>5P3C2L3</t>
  </si>
  <si>
    <t>001.0503124936-0</t>
  </si>
  <si>
    <t>9T5GHH3</t>
  </si>
  <si>
    <t>001.053128364-9</t>
  </si>
  <si>
    <t>BP Mário Schenberg - Subsolo - Sala Infantil</t>
  </si>
  <si>
    <t>SMCCSMB0359</t>
  </si>
  <si>
    <t>10.59.208.71</t>
  </si>
  <si>
    <t>BRJ0118RXF</t>
  </si>
  <si>
    <t>001.052260738-0</t>
  </si>
  <si>
    <t xml:space="preserve"> GNSJ8XA000535</t>
  </si>
  <si>
    <t>001.052252440-4</t>
  </si>
  <si>
    <t>BP Mário Schenberg - Subsolo ADM</t>
  </si>
  <si>
    <t>SMCCSMB0365</t>
  </si>
  <si>
    <t>10.59.208.72</t>
  </si>
  <si>
    <t>BRJ0118S14</t>
  </si>
  <si>
    <t>001.052260804-2</t>
  </si>
  <si>
    <t xml:space="preserve"> GNSJ7XA004078</t>
  </si>
  <si>
    <t>001.052262344-0</t>
  </si>
  <si>
    <t>SMCCSMB0587</t>
  </si>
  <si>
    <t>10.59.209.201</t>
  </si>
  <si>
    <t>ELITEDES</t>
  </si>
  <si>
    <t>BRJ0118S4D</t>
  </si>
  <si>
    <t>001.052260826-3</t>
  </si>
  <si>
    <t xml:space="preserve"> GNSJ7XA004126</t>
  </si>
  <si>
    <t>001.052262356-4</t>
  </si>
  <si>
    <t>SMCCSMB0589</t>
  </si>
  <si>
    <t>10.59.208.70</t>
  </si>
  <si>
    <t>BRJ0118RZ7</t>
  </si>
  <si>
    <t>001.052260775-5</t>
  </si>
  <si>
    <t xml:space="preserve"> GNSJ8XA000305</t>
  </si>
  <si>
    <t>001.052262400-5</t>
  </si>
  <si>
    <t>BP Mário Schenberg - Thin Client - Recepção</t>
  </si>
  <si>
    <t>DESKTOP-A6SK9AQ</t>
  </si>
  <si>
    <t>10.59.208.144</t>
  </si>
  <si>
    <t>ALL</t>
  </si>
  <si>
    <t>OPTIPLEX3030 - DELL</t>
  </si>
  <si>
    <t>95R5542</t>
  </si>
  <si>
    <t>001.051247701-8</t>
  </si>
  <si>
    <t>All in One</t>
  </si>
  <si>
    <t>Mário Schenberg Reserva</t>
  </si>
  <si>
    <t>BP Narbal Fontes</t>
  </si>
  <si>
    <t>SMCCSMB0371</t>
  </si>
  <si>
    <t>10.59.133.69</t>
  </si>
  <si>
    <t>8D7C2L3</t>
  </si>
  <si>
    <t>001.053125003-1</t>
  </si>
  <si>
    <t>JS8FHH3</t>
  </si>
  <si>
    <t>001.053128656-7</t>
  </si>
  <si>
    <t>SMCCSMB0372</t>
  </si>
  <si>
    <t>10.59.133.68</t>
  </si>
  <si>
    <t>BC7C2L3</t>
  </si>
  <si>
    <t>001.053125001-5</t>
  </si>
  <si>
    <t>HZDGHH3</t>
  </si>
  <si>
    <t>001.053128640-0</t>
  </si>
  <si>
    <t>SMCCSMB0374</t>
  </si>
  <si>
    <t>10.59.133.85</t>
  </si>
  <si>
    <t>BRJ0118RXT</t>
  </si>
  <si>
    <t>001.052260746-1</t>
  </si>
  <si>
    <t>GNSJ8XA000117</t>
  </si>
  <si>
    <t>001.052262385-8</t>
  </si>
  <si>
    <t>SMCCSMB0373</t>
  </si>
  <si>
    <t>10.59.133.67</t>
  </si>
  <si>
    <t>2R2CL3</t>
  </si>
  <si>
    <t>001.053125521-1</t>
  </si>
  <si>
    <t>74RFHH3</t>
  </si>
  <si>
    <t>001.053128418-1</t>
  </si>
  <si>
    <t>BP Narbal Fontes Reserva</t>
  </si>
  <si>
    <t>SMCCSMB0375</t>
  </si>
  <si>
    <t>10.59.133.84</t>
  </si>
  <si>
    <t>HYWDHH3</t>
  </si>
  <si>
    <t>001.053128282-0</t>
  </si>
  <si>
    <t>BP Nuto Santana</t>
  </si>
  <si>
    <t>SMCCSMB0377</t>
  </si>
  <si>
    <t>10.59.130.91</t>
  </si>
  <si>
    <t>1AF00J6B</t>
  </si>
  <si>
    <t>001.051098803-1</t>
  </si>
  <si>
    <t>1AF01SS76</t>
  </si>
  <si>
    <t>001.051098894-5</t>
  </si>
  <si>
    <t>SMCCSMB0378</t>
  </si>
  <si>
    <t>10.59.130.81</t>
  </si>
  <si>
    <t>JQ2C2L3</t>
  </si>
  <si>
    <t>001.05325496-7</t>
  </si>
  <si>
    <t>66NGHH3</t>
  </si>
  <si>
    <t>SMCCSMB0379</t>
  </si>
  <si>
    <t>10.59.130.95</t>
  </si>
  <si>
    <t>001.051568681-5</t>
  </si>
  <si>
    <t>SMCCSMB0381</t>
  </si>
  <si>
    <t>10.59.130.97</t>
  </si>
  <si>
    <t>BRJO118SOY</t>
  </si>
  <si>
    <t>001.052260803-4</t>
  </si>
  <si>
    <t>GNSJ8X000424</t>
  </si>
  <si>
    <t>001.052252421-8</t>
  </si>
  <si>
    <t>BP Nuto Santana Reserva</t>
  </si>
  <si>
    <t>BP Padre José de Anchieta</t>
  </si>
  <si>
    <t>SMCCSMB0392</t>
  </si>
  <si>
    <t>10.59.128.95</t>
  </si>
  <si>
    <t>1B7C2L3</t>
  </si>
  <si>
    <t>001.053124995-5</t>
  </si>
  <si>
    <t>JYCGHH3</t>
  </si>
  <si>
    <t>001.053128912-4</t>
  </si>
  <si>
    <t>SMCCSMB0391</t>
  </si>
  <si>
    <t>10.59.128.89</t>
  </si>
  <si>
    <t>BD7C2L3</t>
  </si>
  <si>
    <t>001.053125018-0</t>
  </si>
  <si>
    <t>BSKGHH3</t>
  </si>
  <si>
    <t>001.05312885-3</t>
  </si>
  <si>
    <t>SMCCSMB0389</t>
  </si>
  <si>
    <t>10.59.128.102</t>
  </si>
  <si>
    <t>12166045019290110</t>
  </si>
  <si>
    <t>001.051098862-7</t>
  </si>
  <si>
    <t>L1742PE-BFU</t>
  </si>
  <si>
    <t>SMCCSMB0390</t>
  </si>
  <si>
    <t>10.59.128.100</t>
  </si>
  <si>
    <t>BRJ0118RZ8</t>
  </si>
  <si>
    <t>001.052260776-3</t>
  </si>
  <si>
    <t>OAC</t>
  </si>
  <si>
    <t>GNSJ7XA004119</t>
  </si>
  <si>
    <t>001.052262354-8</t>
  </si>
  <si>
    <t>SMCCSMB0393</t>
  </si>
  <si>
    <t>10.59.128.96</t>
  </si>
  <si>
    <t>3C7C2L3</t>
  </si>
  <si>
    <t>001.053125006-6</t>
  </si>
  <si>
    <t>BNFFHH3</t>
  </si>
  <si>
    <t>001.053128647-8</t>
  </si>
  <si>
    <t>SMCCSMB0394</t>
  </si>
  <si>
    <t>10.59.128.103</t>
  </si>
  <si>
    <t>12166045019290113</t>
  </si>
  <si>
    <t>001.051568665-3</t>
  </si>
  <si>
    <t>BP Padre José de Anchiet Reserva</t>
  </si>
  <si>
    <t>BP Paulo Duarte</t>
  </si>
  <si>
    <t>SMCCSMB0397</t>
  </si>
  <si>
    <t>10.59.127.206</t>
  </si>
  <si>
    <t>5V2C2L3</t>
  </si>
  <si>
    <t>001.053124763-4</t>
  </si>
  <si>
    <t>BNJHHH3</t>
  </si>
  <si>
    <t>001.053128675-3</t>
  </si>
  <si>
    <t>SMCCSMB0401</t>
  </si>
  <si>
    <t>10.59.127.207</t>
  </si>
  <si>
    <t>GD7C2L3</t>
  </si>
  <si>
    <t>001.053125000-7</t>
  </si>
  <si>
    <t>73RFHHH3</t>
  </si>
  <si>
    <t>001.053128412-2</t>
  </si>
  <si>
    <t>SMCCSMB0399</t>
  </si>
  <si>
    <t>10.59.127.205</t>
  </si>
  <si>
    <t>CZ2C2L3</t>
  </si>
  <si>
    <t>001.053125315-4</t>
  </si>
  <si>
    <t>91RFHH3</t>
  </si>
  <si>
    <t>001.053128343-6</t>
  </si>
  <si>
    <t>SMCCSMB0403</t>
  </si>
  <si>
    <t>10.59.127.208</t>
  </si>
  <si>
    <t>BRJ0118RYO</t>
  </si>
  <si>
    <t>001.052260751-8</t>
  </si>
  <si>
    <t>GNSJ8XA000306</t>
  </si>
  <si>
    <t>001.052262401-3</t>
  </si>
  <si>
    <t>BP Paulo Duart Reserva</t>
  </si>
  <si>
    <t>BP Paulo Sergio Duarte Milliet</t>
  </si>
  <si>
    <t>SMCCSMB0409</t>
  </si>
  <si>
    <t>10.59.130.249</t>
  </si>
  <si>
    <t>9D7C2L3</t>
  </si>
  <si>
    <t>001.053124998-0</t>
  </si>
  <si>
    <t>JS5GHH3</t>
  </si>
  <si>
    <t>001.053128649-4</t>
  </si>
  <si>
    <t>SMCCSMB0410</t>
  </si>
  <si>
    <t>10.59.130.215</t>
  </si>
  <si>
    <t>4P2C2L3</t>
  </si>
  <si>
    <t>001.053125501-7</t>
  </si>
  <si>
    <t>JXGFHH3</t>
  </si>
  <si>
    <t>001.053128910-8</t>
  </si>
  <si>
    <t>SMCCSMB0411</t>
  </si>
  <si>
    <t>10.59.130.230</t>
  </si>
  <si>
    <t>BRJ0118S05</t>
  </si>
  <si>
    <t>001.052260797-6</t>
  </si>
  <si>
    <t>GNSJ7XA004186</t>
  </si>
  <si>
    <t>001.052262375-0</t>
  </si>
  <si>
    <t>SMCCSMB0407</t>
  </si>
  <si>
    <t>10.59.130.234</t>
  </si>
  <si>
    <t>4D7C2L3</t>
  </si>
  <si>
    <t>001.053125027-9</t>
  </si>
  <si>
    <t>JX7FHH3</t>
  </si>
  <si>
    <t>001.053128892-6</t>
  </si>
  <si>
    <t>BP Paulo Sergio Duarte Millie Reserva</t>
  </si>
  <si>
    <t>BP Paulo Setubal</t>
  </si>
  <si>
    <t>SMCCSMB0928</t>
  </si>
  <si>
    <t>10.59.111.228</t>
  </si>
  <si>
    <t>SMCCSMB0423</t>
  </si>
  <si>
    <t>10.59.111.216</t>
  </si>
  <si>
    <t>SMCCSMB0422</t>
  </si>
  <si>
    <t>10.59.111.205</t>
  </si>
  <si>
    <t>SMCCSMB0421</t>
  </si>
  <si>
    <t>10.59.111.239</t>
  </si>
  <si>
    <t>SMCCSMB0420</t>
  </si>
  <si>
    <t>10.59.111.203</t>
  </si>
  <si>
    <t>SMCCSMB0425</t>
  </si>
  <si>
    <t>BP Paulo Setubal Reserva</t>
  </si>
  <si>
    <t>BP Pedro Nava</t>
  </si>
  <si>
    <t>SMCCSMB0428</t>
  </si>
  <si>
    <t>10.59.135.75</t>
  </si>
  <si>
    <t>08160603019290218</t>
  </si>
  <si>
    <t>001.051568995-5</t>
  </si>
  <si>
    <t>B1970W</t>
  </si>
  <si>
    <t>0274HQABC03806Y</t>
  </si>
  <si>
    <t>SMCCSMB0433</t>
  </si>
  <si>
    <t>10.59.135.77</t>
  </si>
  <si>
    <t>001.051098820-1</t>
  </si>
  <si>
    <t>1Af015t95</t>
  </si>
  <si>
    <t>001.051098900-3</t>
  </si>
  <si>
    <t>SMCCSMB0427</t>
  </si>
  <si>
    <t>10.59.135.100</t>
  </si>
  <si>
    <t>3P2C2L3</t>
  </si>
  <si>
    <t>001.053125505-0</t>
  </si>
  <si>
    <t>19QFHH3</t>
  </si>
  <si>
    <t>001.053128117-4</t>
  </si>
  <si>
    <t>SMCCSMB0434</t>
  </si>
  <si>
    <t>10.59.135.91</t>
  </si>
  <si>
    <t>4S2C2L3</t>
  </si>
  <si>
    <t>001.053124746-4</t>
  </si>
  <si>
    <t>HZMFHH3</t>
  </si>
  <si>
    <t>001.053128663-0</t>
  </si>
  <si>
    <t>SMCCSMB0432</t>
  </si>
  <si>
    <t>10.59.135.88</t>
  </si>
  <si>
    <t>BRJ0118RZC</t>
  </si>
  <si>
    <t>001.052262779-8</t>
  </si>
  <si>
    <t>GNSJ8XA004116</t>
  </si>
  <si>
    <t>001.052262384-0</t>
  </si>
  <si>
    <t>BP Pedro Nava Reserva</t>
  </si>
  <si>
    <t>BP Prefeito Prestes Maia</t>
  </si>
  <si>
    <t>SMCCSMB0437</t>
  </si>
  <si>
    <t>10.59.105.12</t>
  </si>
  <si>
    <t>7YZM2L3</t>
  </si>
  <si>
    <t>001..053125264-6</t>
  </si>
  <si>
    <t>659FHH3</t>
  </si>
  <si>
    <t>001.053128401-7</t>
  </si>
  <si>
    <t>SMCCSMB0442</t>
  </si>
  <si>
    <t>10.59.105.26</t>
  </si>
  <si>
    <t>"12166045019290098"</t>
  </si>
  <si>
    <t>SEM PATRIMONIO</t>
  </si>
  <si>
    <t>0274HQBC30320SE</t>
  </si>
  <si>
    <t>SMCCSMB0447</t>
  </si>
  <si>
    <t>10.59.105.29</t>
  </si>
  <si>
    <t>CV2C2L3</t>
  </si>
  <si>
    <t>001.053124744-8</t>
  </si>
  <si>
    <t>1D1FHH3</t>
  </si>
  <si>
    <t>001.053128883-7</t>
  </si>
  <si>
    <t>SMCCSMB0443</t>
  </si>
  <si>
    <t>10.59.105.27</t>
  </si>
  <si>
    <t>fWZM2L3</t>
  </si>
  <si>
    <t>001.053125249-2</t>
  </si>
  <si>
    <t>JXXFHH3</t>
  </si>
  <si>
    <t>001.053128926-4</t>
  </si>
  <si>
    <t>SMCCSMB0440</t>
  </si>
  <si>
    <t>10.59.105.31</t>
  </si>
  <si>
    <t>DS2C2L3</t>
  </si>
  <si>
    <t>001.053124739-1</t>
  </si>
  <si>
    <t>FRHFHH3</t>
  </si>
  <si>
    <t>001.053128409-2</t>
  </si>
  <si>
    <t>SMC</t>
  </si>
  <si>
    <t>PRODESK 400</t>
  </si>
  <si>
    <t>BRJ6398L9Y</t>
  </si>
  <si>
    <t>001.051625793-4</t>
  </si>
  <si>
    <t>GPU641A005610</t>
  </si>
  <si>
    <t>001.051625798-5</t>
  </si>
  <si>
    <t>SMCCSMB0448</t>
  </si>
  <si>
    <t>10.59.105.13</t>
  </si>
  <si>
    <t>BRJ0118RZM</t>
  </si>
  <si>
    <t>001.052260785-2</t>
  </si>
  <si>
    <t>GNSJ8XA000419</t>
  </si>
  <si>
    <t>001.052262419-6</t>
  </si>
  <si>
    <t>SMCCSMB0831</t>
  </si>
  <si>
    <t>10.59.105.48</t>
  </si>
  <si>
    <t>GS2C2L3</t>
  </si>
  <si>
    <t>001.053124732-4</t>
  </si>
  <si>
    <t>91YFHH3</t>
  </si>
  <si>
    <t>001.053128358-4</t>
  </si>
  <si>
    <t>SMCCSMB0099</t>
  </si>
  <si>
    <t>10.59.105.34</t>
  </si>
  <si>
    <t xml:space="preserve">POSITIVO </t>
  </si>
  <si>
    <t>1A832KY9F</t>
  </si>
  <si>
    <t>0274HQBC303103F</t>
  </si>
  <si>
    <t>SMCCSMB0101</t>
  </si>
  <si>
    <t>10.59.105.36</t>
  </si>
  <si>
    <t>Kabum</t>
  </si>
  <si>
    <t>12166045019290086</t>
  </si>
  <si>
    <t xml:space="preserve">ilegível </t>
  </si>
  <si>
    <t>1AF01SK8N</t>
  </si>
  <si>
    <t>001.051098913-5</t>
  </si>
  <si>
    <t>BP Prefeito Prestes Maia Reserva</t>
  </si>
  <si>
    <t>BP Professor Arnaldo Magalhães</t>
  </si>
  <si>
    <t>SMCCSMB0462</t>
  </si>
  <si>
    <t>10.59.114.233</t>
  </si>
  <si>
    <t>BRJ0118RZB</t>
  </si>
  <si>
    <t>001.052260778-0</t>
  </si>
  <si>
    <t>2AP1U</t>
  </si>
  <si>
    <t>001.052262381-5</t>
  </si>
  <si>
    <t>SMCCSMB0461</t>
  </si>
  <si>
    <t>10.59.114.222</t>
  </si>
  <si>
    <t>FP2C2L3</t>
  </si>
  <si>
    <t>001.053158819-0</t>
  </si>
  <si>
    <t>FWCGHH3</t>
  </si>
  <si>
    <t>001.053128891-8</t>
  </si>
  <si>
    <t>SMCCSMB0459</t>
  </si>
  <si>
    <t>10.59.114.220</t>
  </si>
  <si>
    <t>CC7C2L3</t>
  </si>
  <si>
    <t>001.053124988-2</t>
  </si>
  <si>
    <t>745GHH3</t>
  </si>
  <si>
    <t>001.053128403-3</t>
  </si>
  <si>
    <t>SMCCSMB0458</t>
  </si>
  <si>
    <t>10.59.114.218</t>
  </si>
  <si>
    <t>4YZM2L3</t>
  </si>
  <si>
    <t>001.053125231-0</t>
  </si>
  <si>
    <t>1C5GHH3</t>
  </si>
  <si>
    <t>001.053128920-5</t>
  </si>
  <si>
    <t>BP Professor Arnaldo Magalhães Reserva</t>
  </si>
  <si>
    <t>BP Raimundo de Menezes</t>
  </si>
  <si>
    <t>SMCCSMB0471</t>
  </si>
  <si>
    <t>10.59.110.250</t>
  </si>
  <si>
    <t>7XZM2L3</t>
  </si>
  <si>
    <t>001.053125257-3</t>
  </si>
  <si>
    <t>FQTGHH3</t>
  </si>
  <si>
    <t>001.053128405-0</t>
  </si>
  <si>
    <t>SMCCSMB0465</t>
  </si>
  <si>
    <t>10.59.110.240</t>
  </si>
  <si>
    <t>GWZM2L3</t>
  </si>
  <si>
    <t>001.053125248-4</t>
  </si>
  <si>
    <t>JX4GHH3</t>
  </si>
  <si>
    <t>001.053128904-3</t>
  </si>
  <si>
    <t>SMCCSMB0469</t>
  </si>
  <si>
    <t>10.59.110.225</t>
  </si>
  <si>
    <t>08160603019290209'</t>
  </si>
  <si>
    <t>001.0515.68710-2</t>
  </si>
  <si>
    <t>0274HQABC00204E</t>
  </si>
  <si>
    <t>SMCCSMB0472</t>
  </si>
  <si>
    <t>10.59.110.245</t>
  </si>
  <si>
    <t>1T2C2L3</t>
  </si>
  <si>
    <t>001.05124743-0</t>
  </si>
  <si>
    <t>771FHH3</t>
  </si>
  <si>
    <t>001.053128482-3</t>
  </si>
  <si>
    <t>SMCCSMB0468</t>
  </si>
  <si>
    <t>10.59.110.203</t>
  </si>
  <si>
    <t>8XZM2L3</t>
  </si>
  <si>
    <t>001.053125276-0</t>
  </si>
  <si>
    <t>FPPFHH3</t>
  </si>
  <si>
    <t>001.053128415-7</t>
  </si>
  <si>
    <t>SMCCSMB0464</t>
  </si>
  <si>
    <t>10.59.110.219</t>
  </si>
  <si>
    <t>BRJ0118S3J</t>
  </si>
  <si>
    <t>001.052260819-0</t>
  </si>
  <si>
    <t>GNSJ8XA000399</t>
  </si>
  <si>
    <t>001.052262412-9</t>
  </si>
  <si>
    <t>BP Raimundo de Menezes Reserva</t>
  </si>
  <si>
    <t>BP Raul Bopp - Atendimento</t>
  </si>
  <si>
    <t>SMCCSMB0479</t>
  </si>
  <si>
    <t>10.59.112.79</t>
  </si>
  <si>
    <t>HWZM2L3</t>
  </si>
  <si>
    <t>001.053125253-0</t>
  </si>
  <si>
    <t>2422HB</t>
  </si>
  <si>
    <t>HPHFHH3</t>
  </si>
  <si>
    <t>001.053128655-9</t>
  </si>
  <si>
    <t>BP Raul Bopp - Coordenadoria</t>
  </si>
  <si>
    <t>SMCCSMB0480</t>
  </si>
  <si>
    <t>10.59.112.94</t>
  </si>
  <si>
    <t>001.05109885-1</t>
  </si>
  <si>
    <t>0274HQHC302883D</t>
  </si>
  <si>
    <t>SMCCSMB0481</t>
  </si>
  <si>
    <t>10.59.112.93</t>
  </si>
  <si>
    <t>BRJ00118RZY</t>
  </si>
  <si>
    <t>001.052260769-0</t>
  </si>
  <si>
    <t>GNSJ8X000403</t>
  </si>
  <si>
    <t>001.052262414-5</t>
  </si>
  <si>
    <t>SMCCSMB0484</t>
  </si>
  <si>
    <t>10.59.112.81</t>
  </si>
  <si>
    <t>9B7C2L3</t>
  </si>
  <si>
    <t>001.053125016-3</t>
  </si>
  <si>
    <t>JR7FHH3</t>
  </si>
  <si>
    <t>001.053128632-0</t>
  </si>
  <si>
    <t>BP Raul Bopp - Pesquisa</t>
  </si>
  <si>
    <t>SMCCSMB 0485</t>
  </si>
  <si>
    <t>10.59.112.95</t>
  </si>
  <si>
    <t>001.053124985-8</t>
  </si>
  <si>
    <t>1D9FHH6</t>
  </si>
  <si>
    <t>001.053128889-6</t>
  </si>
  <si>
    <t>BP Raul Bopp</t>
  </si>
  <si>
    <t>BP Raul Bopp Reserva</t>
  </si>
  <si>
    <t>BP Ricardo Ramos</t>
  </si>
  <si>
    <t>SMCCSMB0489</t>
  </si>
  <si>
    <t>10.59.129.206</t>
  </si>
  <si>
    <t>FYZM2L3</t>
  </si>
  <si>
    <t>001.053125251-4</t>
  </si>
  <si>
    <t>FQVGHH3</t>
  </si>
  <si>
    <t>001.053128427-0</t>
  </si>
  <si>
    <t>SMCCSMB0490</t>
  </si>
  <si>
    <t>10.59.129.217</t>
  </si>
  <si>
    <t>6C7C2L3</t>
  </si>
  <si>
    <t>001.053125011-2</t>
  </si>
  <si>
    <t>F5VGHH3</t>
  </si>
  <si>
    <t>001.053128421-1</t>
  </si>
  <si>
    <t>SMCCSMB0488</t>
  </si>
  <si>
    <t>10.59.129.220</t>
  </si>
  <si>
    <t>JC7C2L3</t>
  </si>
  <si>
    <t>001.053124983-1</t>
  </si>
  <si>
    <t>FQMGHH3</t>
  </si>
  <si>
    <t>001.053128383-5</t>
  </si>
  <si>
    <t>SMCCSMB0492</t>
  </si>
  <si>
    <t>10.59.129.242</t>
  </si>
  <si>
    <t>BRJ0118RY2</t>
  </si>
  <si>
    <t>001.252260752-6</t>
  </si>
  <si>
    <t>GNSJ8XA000147</t>
  </si>
  <si>
    <t>001.052262390-4</t>
  </si>
  <si>
    <t>Pesq1</t>
  </si>
  <si>
    <t>BP Ricardo Ramos Reserva</t>
  </si>
  <si>
    <t>BP Roberto Santos</t>
  </si>
  <si>
    <t>SMCCSMB0496</t>
  </si>
  <si>
    <t>10.59.126.76</t>
  </si>
  <si>
    <t>BZZM2L3</t>
  </si>
  <si>
    <t>001.053125267-0</t>
  </si>
  <si>
    <t>JVMGHH3</t>
  </si>
  <si>
    <t>001.053128379-7</t>
  </si>
  <si>
    <t>SMCCSMB0497</t>
  </si>
  <si>
    <t>10.59.126.71</t>
  </si>
  <si>
    <t>12166045019290094</t>
  </si>
  <si>
    <t>001.05168697-1</t>
  </si>
  <si>
    <t>1AF01SL0M</t>
  </si>
  <si>
    <t>001.051098880-5</t>
  </si>
  <si>
    <t>SMCCSMB0500</t>
  </si>
  <si>
    <t>10.59.126.85</t>
  </si>
  <si>
    <t>GXZM2L3</t>
  </si>
  <si>
    <t>001.053125235-2</t>
  </si>
  <si>
    <t>FRTGHH3</t>
  </si>
  <si>
    <t>001.053128384-3</t>
  </si>
  <si>
    <t>SMCCSMB0501</t>
  </si>
  <si>
    <t>10.59.126.86</t>
  </si>
  <si>
    <t>7C7C2L3</t>
  </si>
  <si>
    <t>001.053125019-8</t>
  </si>
  <si>
    <t>H2MGHH3</t>
  </si>
  <si>
    <t>001.053128644-3</t>
  </si>
  <si>
    <t>SMCCSMB0504</t>
  </si>
  <si>
    <t>10.59.126.77</t>
  </si>
  <si>
    <t>BRJA118RZP</t>
  </si>
  <si>
    <t>001.052260787-9</t>
  </si>
  <si>
    <t>GNSJ8XA004175</t>
  </si>
  <si>
    <t>001.052262374-2</t>
  </si>
  <si>
    <t>10.59.126.99</t>
  </si>
  <si>
    <t>I1704IA007172</t>
  </si>
  <si>
    <t>BP Roberto Santos Reserva</t>
  </si>
  <si>
    <t>BP Rubens Borba Alves de Moraes</t>
  </si>
  <si>
    <t>SMCCSMB0508</t>
  </si>
  <si>
    <t>10.59.120.90</t>
  </si>
  <si>
    <t>1AF008B92</t>
  </si>
  <si>
    <t>1AF01554R</t>
  </si>
  <si>
    <t>001.051098896-1</t>
  </si>
  <si>
    <t>SMCCSMB0516</t>
  </si>
  <si>
    <t>10.59.120.92</t>
  </si>
  <si>
    <t>7V2C2L3</t>
  </si>
  <si>
    <t>001.053124767-7</t>
  </si>
  <si>
    <t>F5FGHH3</t>
  </si>
  <si>
    <t>001.053128394-0</t>
  </si>
  <si>
    <t>SMCCSMB0509</t>
  </si>
  <si>
    <t>10.59.120.88</t>
  </si>
  <si>
    <t>9T2C2L3</t>
  </si>
  <si>
    <t>001.053124754-5</t>
  </si>
  <si>
    <t>1FDGHH3</t>
  </si>
  <si>
    <t>001.053128906-0</t>
  </si>
  <si>
    <t>SMCCSMB0507</t>
  </si>
  <si>
    <t>10.59.120.79</t>
  </si>
  <si>
    <t>1XZM2L3</t>
  </si>
  <si>
    <t>001.053125253-5</t>
  </si>
  <si>
    <t>FSHFHH3</t>
  </si>
  <si>
    <t>001.053128395-9</t>
  </si>
  <si>
    <t>SMCCSMB0515</t>
  </si>
  <si>
    <t>10.59.120.71</t>
  </si>
  <si>
    <t>BRJ0118RZL</t>
  </si>
  <si>
    <t>001.052260784-4</t>
  </si>
  <si>
    <t>GNSJ8XA000328</t>
  </si>
  <si>
    <t>001.052262407-2</t>
  </si>
  <si>
    <t>SMCCSMB0513</t>
  </si>
  <si>
    <t>10.59.120.91</t>
  </si>
  <si>
    <t>1AF008C7V</t>
  </si>
  <si>
    <t>001.051098863-5</t>
  </si>
  <si>
    <t>1AFQ1SQ3G</t>
  </si>
  <si>
    <t>001.051.098898-9</t>
  </si>
  <si>
    <t>SMCCSMB0510</t>
  </si>
  <si>
    <t>10.59.120.93</t>
  </si>
  <si>
    <t>1A948XS4I</t>
  </si>
  <si>
    <t>001.050531801-5</t>
  </si>
  <si>
    <t>001.004632316-2</t>
  </si>
  <si>
    <t>BP Rubens Borba Alves de Moraes Reserva</t>
  </si>
  <si>
    <t>BP Sergio Buarque de Holanda</t>
  </si>
  <si>
    <t>SMCCSMB0519</t>
  </si>
  <si>
    <t>10.59.127.85</t>
  </si>
  <si>
    <t>8Q2C2L3</t>
  </si>
  <si>
    <t>001.053125493-2</t>
  </si>
  <si>
    <t>HJSFHH3</t>
  </si>
  <si>
    <t>001.053128855-1</t>
  </si>
  <si>
    <t>SMCCSMB0521</t>
  </si>
  <si>
    <t>10.59.127.77</t>
  </si>
  <si>
    <t>7F3C2L3</t>
  </si>
  <si>
    <t>001.053125336-7</t>
  </si>
  <si>
    <t>2HQFHH3</t>
  </si>
  <si>
    <t>001.053128119-0</t>
  </si>
  <si>
    <t>SMCCSMB0522</t>
  </si>
  <si>
    <t>10.59.127.73</t>
  </si>
  <si>
    <t>BRJ011RWT</t>
  </si>
  <si>
    <t>001.052260730-5</t>
  </si>
  <si>
    <t>GNSJ7XA004165</t>
  </si>
  <si>
    <t>001.052262372-6</t>
  </si>
  <si>
    <t>SMCCSMB0523</t>
  </si>
  <si>
    <t>10.59.127.76</t>
  </si>
  <si>
    <t>3Q2C2L3</t>
  </si>
  <si>
    <t>001.053125502-5</t>
  </si>
  <si>
    <t>1DVGHH3</t>
  </si>
  <si>
    <t>001.053128911-6</t>
  </si>
  <si>
    <t>BP Sergio Buarque de Holanda Reserva</t>
  </si>
  <si>
    <t>BP Sylvia Orthof- Balcão</t>
  </si>
  <si>
    <t>SMCCSMB0528</t>
  </si>
  <si>
    <t>10.59.136.145</t>
  </si>
  <si>
    <t>01.051568667-0</t>
  </si>
  <si>
    <t>1AF01SL31</t>
  </si>
  <si>
    <t>SMCCSMB0529</t>
  </si>
  <si>
    <t>10.59.136.155</t>
  </si>
  <si>
    <t>AF008D14</t>
  </si>
  <si>
    <t>LS19CBKABBLZD</t>
  </si>
  <si>
    <t>0274HQACBC303016J</t>
  </si>
  <si>
    <t>BP Sylvia Orthof - Balcão</t>
  </si>
  <si>
    <t>SMCCSMB0530</t>
  </si>
  <si>
    <t>10.59.136.142</t>
  </si>
  <si>
    <t>1Q2C2L3</t>
  </si>
  <si>
    <t>001.053125524-6</t>
  </si>
  <si>
    <t>BR067NW4</t>
  </si>
  <si>
    <t>001.053128664-8</t>
  </si>
  <si>
    <t>BP Sylvia Orthof - Coordenadoria</t>
  </si>
  <si>
    <t>SMCCSMB 0531</t>
  </si>
  <si>
    <t>10.59.136.143</t>
  </si>
  <si>
    <t>1AF008C6Q</t>
  </si>
  <si>
    <t>SMCCSMB0532</t>
  </si>
  <si>
    <t>10.59.136.160</t>
  </si>
  <si>
    <t>BRJ0118RXB</t>
  </si>
  <si>
    <t>001.052260735-6</t>
  </si>
  <si>
    <t>GNSJ7XA004145</t>
  </si>
  <si>
    <t>001.52262362-9</t>
  </si>
  <si>
    <t>BP Sylvia Orthof - Coordenadora</t>
  </si>
  <si>
    <t>THINK-CLIENT</t>
  </si>
  <si>
    <t>POS-AT</t>
  </si>
  <si>
    <t xml:space="preserve">1A5961032 </t>
  </si>
  <si>
    <t>GNSJ7XA00368R</t>
  </si>
  <si>
    <t>BP Sylvia Orthof Reserva</t>
  </si>
  <si>
    <t>BP Thales Castanho de Andrade</t>
  </si>
  <si>
    <t>SMCCSMB0541</t>
  </si>
  <si>
    <t>10.59.125.101</t>
  </si>
  <si>
    <t>HQ2C2L3</t>
  </si>
  <si>
    <t>001.053125517-3</t>
  </si>
  <si>
    <t>H2FGHH3</t>
  </si>
  <si>
    <t>001.053128636-2</t>
  </si>
  <si>
    <t>SMCCSMB0540</t>
  </si>
  <si>
    <t>10.59.125.100</t>
  </si>
  <si>
    <t>BRJ0118RZ1</t>
  </si>
  <si>
    <t>001.52260771-2</t>
  </si>
  <si>
    <t>GNSJ8XA000420</t>
  </si>
  <si>
    <t>001.052262420-0</t>
  </si>
  <si>
    <t>SMCCSMB0539</t>
  </si>
  <si>
    <t>10.59.125.76</t>
  </si>
  <si>
    <t>8T2C2L3</t>
  </si>
  <si>
    <t>001.053124778-2</t>
  </si>
  <si>
    <t>74HFHH3</t>
  </si>
  <si>
    <t>001.053128382-7</t>
  </si>
  <si>
    <t>BP Thales Castanho de Andrade Reserva</t>
  </si>
  <si>
    <t>BP Vicente de Carvalho</t>
  </si>
  <si>
    <t>SMCCSMB0553</t>
  </si>
  <si>
    <t>10.59.124.221</t>
  </si>
  <si>
    <t>BRJ0118RZ0</t>
  </si>
  <si>
    <t>001.052260770-4</t>
  </si>
  <si>
    <t>GNSJ7XA004130</t>
  </si>
  <si>
    <t>001.052262357-2</t>
  </si>
  <si>
    <t>SMCCSMB0547</t>
  </si>
  <si>
    <t>10.59.124.217</t>
  </si>
  <si>
    <t>BP Vicente de Carvalho Reserva</t>
  </si>
  <si>
    <t>BP Vicente Paulo Guimarães</t>
  </si>
  <si>
    <t>SMCCSMB0561</t>
  </si>
  <si>
    <t>10.59.123.221</t>
  </si>
  <si>
    <t>12166045019290047'</t>
  </si>
  <si>
    <t>001.05168721-8</t>
  </si>
  <si>
    <t>L1742PEU</t>
  </si>
  <si>
    <t>SMCCSMB0562</t>
  </si>
  <si>
    <t>10.59.123.222</t>
  </si>
  <si>
    <t>BRJ0118RZN</t>
  </si>
  <si>
    <t>001.052260786-0</t>
  </si>
  <si>
    <t>GNSJ8XA000314</t>
  </si>
  <si>
    <t>001.052262403-0</t>
  </si>
  <si>
    <t>SMCCSMB0557</t>
  </si>
  <si>
    <t>10.59.123.198</t>
  </si>
  <si>
    <t>DR2C2L3</t>
  </si>
  <si>
    <t>001.053125528-9</t>
  </si>
  <si>
    <t>FQ8FHH3</t>
  </si>
  <si>
    <t>001.053128387-8</t>
  </si>
  <si>
    <t>SMCCSMB0558</t>
  </si>
  <si>
    <t>10.59.123.214</t>
  </si>
  <si>
    <t>1AF008L0N</t>
  </si>
  <si>
    <t>001.051098828-7</t>
  </si>
  <si>
    <t>1AF01T19E</t>
  </si>
  <si>
    <t>001.0510988907-0</t>
  </si>
  <si>
    <t>BP Vicente Paulo Guimarães Reserva</t>
  </si>
  <si>
    <t>BP Vinicius de Moraes</t>
  </si>
  <si>
    <t>SMCCSMB0569</t>
  </si>
  <si>
    <t>10.59.134.205</t>
  </si>
  <si>
    <t>213C2L3</t>
  </si>
  <si>
    <t>001.053125282-4</t>
  </si>
  <si>
    <t>BM7FHH3</t>
  </si>
  <si>
    <t>001.053128671-0</t>
  </si>
  <si>
    <t>SMCCSMB0571</t>
  </si>
  <si>
    <t>10.59.134.220</t>
  </si>
  <si>
    <t>JN2C2L3</t>
  </si>
  <si>
    <t>001.053125526-2</t>
  </si>
  <si>
    <t>D3RFHH3</t>
  </si>
  <si>
    <t>001.053128170-0</t>
  </si>
  <si>
    <t>SMCCSMB0570</t>
  </si>
  <si>
    <t>10.59.134.223</t>
  </si>
  <si>
    <t>6XZM2L3</t>
  </si>
  <si>
    <t>001.053125260-3</t>
  </si>
  <si>
    <t>FQPFHH3</t>
  </si>
  <si>
    <t>001.053128407-6</t>
  </si>
  <si>
    <t>SMCCSMB0573</t>
  </si>
  <si>
    <t>10.59.134.218</t>
  </si>
  <si>
    <t>BRJ0118S0L</t>
  </si>
  <si>
    <t>001.052260799-2</t>
  </si>
  <si>
    <t>GNSJ7XA004087</t>
  </si>
  <si>
    <t>001.052262348-3</t>
  </si>
  <si>
    <t>BP Vinicius de Moraes Reserva</t>
  </si>
  <si>
    <t>BP Viriato Correa</t>
  </si>
  <si>
    <t>SMCCSMB0576</t>
  </si>
  <si>
    <t>10.59.119.92</t>
  </si>
  <si>
    <t>ELITEDESK 800</t>
  </si>
  <si>
    <t>BRJ0118RXV</t>
  </si>
  <si>
    <t>001.52260747-0</t>
  </si>
  <si>
    <t>GNSJB8XA000337</t>
  </si>
  <si>
    <t>001.052262408-0</t>
  </si>
  <si>
    <t>SMCCSMB0578</t>
  </si>
  <si>
    <t>10.59.119.90</t>
  </si>
  <si>
    <t>1A832KV0X</t>
  </si>
  <si>
    <t>SMCCSMB0579</t>
  </si>
  <si>
    <t>10.59.119.100</t>
  </si>
  <si>
    <t>1A832KW7Z</t>
  </si>
  <si>
    <t>E20PWDB</t>
  </si>
  <si>
    <t>1AF01SS2H</t>
  </si>
  <si>
    <t>001.0510983986-2</t>
  </si>
  <si>
    <t>SMCCSMB0577</t>
  </si>
  <si>
    <t>10.59.119.91</t>
  </si>
  <si>
    <t>GYZM2L3</t>
  </si>
  <si>
    <t>001.053125273-5</t>
  </si>
  <si>
    <t>FWVGHH3</t>
  </si>
  <si>
    <t>001.053128896-9</t>
  </si>
  <si>
    <t xml:space="preserve">BP Viriato Correa </t>
  </si>
  <si>
    <t>SMCCSMB0581</t>
  </si>
  <si>
    <t>10.59.119.120</t>
  </si>
  <si>
    <t>1A6714R0Q</t>
  </si>
  <si>
    <t>LS19CBKALZD</t>
  </si>
  <si>
    <t>0274HQBC303100X</t>
  </si>
  <si>
    <t>SMCCSMB0582</t>
  </si>
  <si>
    <t>10.59.119.78</t>
  </si>
  <si>
    <t>JXZM2L3</t>
  </si>
  <si>
    <t>001.053125265-4</t>
  </si>
  <si>
    <t>DOXGHH3</t>
  </si>
  <si>
    <t>001.053128140-9</t>
  </si>
  <si>
    <t>BP Viriato Correa Reserva</t>
  </si>
  <si>
    <t>SMCCSMB0583</t>
  </si>
  <si>
    <t>10.59.119.103</t>
  </si>
  <si>
    <t>ITAUTEC</t>
  </si>
  <si>
    <t>INFOWAY NOTE W7415</t>
  </si>
  <si>
    <t>1° ANDAR CSMB</t>
  </si>
  <si>
    <t>SMCCSMB1443</t>
  </si>
  <si>
    <t>10.59.208.240</t>
  </si>
  <si>
    <t>8C7C2L3</t>
  </si>
  <si>
    <t>001.053125028-7</t>
  </si>
  <si>
    <t>JSHFHH3</t>
  </si>
  <si>
    <t>001.053128635-46</t>
  </si>
  <si>
    <t>SMCCSMB1441</t>
  </si>
  <si>
    <t>10.59.208.237</t>
  </si>
  <si>
    <t>1A815QPSH</t>
  </si>
  <si>
    <t>001.050680118-6</t>
  </si>
  <si>
    <t>0274HQAC302888R</t>
  </si>
  <si>
    <t>SMCCSMB1440</t>
  </si>
  <si>
    <t>10.59.208.62</t>
  </si>
  <si>
    <t>BRJ0118RZF</t>
  </si>
  <si>
    <t>001.052260780-1</t>
  </si>
  <si>
    <t>GNSJ8XA000298</t>
  </si>
  <si>
    <t>001.052262396-3</t>
  </si>
  <si>
    <t>SMCCSMB1521</t>
  </si>
  <si>
    <t>10.59.208.130</t>
  </si>
  <si>
    <t>DWZM2L3</t>
  </si>
  <si>
    <t>001.053125244-1</t>
  </si>
  <si>
    <t>75HFHH3</t>
  </si>
  <si>
    <t>001.053128414-9</t>
  </si>
  <si>
    <t>1° ANDAR CSMB Reserva</t>
  </si>
  <si>
    <t>2° ANDAR CSMB</t>
  </si>
  <si>
    <t>SMCCSMB1516</t>
  </si>
  <si>
    <t>10.59.208.236</t>
  </si>
  <si>
    <t>BRJ0118RYG</t>
  </si>
  <si>
    <t>001.052280760-7</t>
  </si>
  <si>
    <t>GNSJ7XA004169</t>
  </si>
  <si>
    <t>001.052262373-4</t>
  </si>
  <si>
    <t>SMCCSMB1515</t>
  </si>
  <si>
    <t>10.59.208.238</t>
  </si>
  <si>
    <t>2D7C2L3</t>
  </si>
  <si>
    <t>001.053125024-4</t>
  </si>
  <si>
    <t>FW1FHH3</t>
  </si>
  <si>
    <t>001.053128913-2</t>
  </si>
  <si>
    <t>SMCCSMB1517</t>
  </si>
  <si>
    <t>10.59.208.211</t>
  </si>
  <si>
    <t>BRJ0118S4F</t>
  </si>
  <si>
    <t>001.052260827-1</t>
  </si>
  <si>
    <t>GNSJ7XA004088</t>
  </si>
  <si>
    <t>001.052262349-1</t>
  </si>
  <si>
    <t>SMCCSMB0895</t>
  </si>
  <si>
    <t>10.59.209.235</t>
  </si>
  <si>
    <t>BRJ0118RYW</t>
  </si>
  <si>
    <t>L1742PT</t>
  </si>
  <si>
    <t>SMCCSMB1518</t>
  </si>
  <si>
    <t>10.59.208.234</t>
  </si>
  <si>
    <t>BRJ0118S2H</t>
  </si>
  <si>
    <t>001.052260813-1</t>
  </si>
  <si>
    <t>GNSJ8XA000345</t>
  </si>
  <si>
    <t>001.052262410-2</t>
  </si>
  <si>
    <t>SMCCSMB1408</t>
  </si>
  <si>
    <t>10.59.208.233</t>
  </si>
  <si>
    <t>BRJ0118S2L</t>
  </si>
  <si>
    <t>001.052260815-8</t>
  </si>
  <si>
    <t>GNSJ7XA004083</t>
  </si>
  <si>
    <t>001.052262347-5</t>
  </si>
  <si>
    <t>SMCCSMB1415</t>
  </si>
  <si>
    <t>10.59.208.225</t>
  </si>
  <si>
    <t>1A5961J17</t>
  </si>
  <si>
    <t>0274HQAC302973D</t>
  </si>
  <si>
    <t>SMCCSMB1412</t>
  </si>
  <si>
    <t>10.59.208.134</t>
  </si>
  <si>
    <t>BRJ0118RZ9</t>
  </si>
  <si>
    <t>001.052260777-1</t>
  </si>
  <si>
    <t>GNSJ8XA000148</t>
  </si>
  <si>
    <t>001.052262391-2</t>
  </si>
  <si>
    <t>SMCCSMB1416</t>
  </si>
  <si>
    <t>10.59.208.231</t>
  </si>
  <si>
    <t>1A832KT8V</t>
  </si>
  <si>
    <t>SMCCSMB1424</t>
  </si>
  <si>
    <t>10.59.208.223</t>
  </si>
  <si>
    <t>1A832L16G</t>
  </si>
  <si>
    <t>SMCCSMB1522</t>
  </si>
  <si>
    <t>10.59.208.128</t>
  </si>
  <si>
    <t>BRJ0118RYB</t>
  </si>
  <si>
    <t>GNSJ8XA000408</t>
  </si>
  <si>
    <t>001.052262416-1</t>
  </si>
  <si>
    <t>SMCCSMB1422</t>
  </si>
  <si>
    <t>10.59.208.229</t>
  </si>
  <si>
    <t>1A832L071</t>
  </si>
  <si>
    <t>SMCCSMB1425</t>
  </si>
  <si>
    <t>10.59.209.228</t>
  </si>
  <si>
    <t>1A5961P44</t>
  </si>
  <si>
    <t>0274HQAC302801E</t>
  </si>
  <si>
    <t>SMCCSMB1428</t>
  </si>
  <si>
    <t>10.59.208.227</t>
  </si>
  <si>
    <t>BRJ0118S3S</t>
  </si>
  <si>
    <t>001.052260821-2</t>
  </si>
  <si>
    <t>GNSJ8XA000105</t>
  </si>
  <si>
    <t>001.052262380-7</t>
  </si>
  <si>
    <t>SMCCSMB1514</t>
  </si>
  <si>
    <t>10.59.208.35</t>
  </si>
  <si>
    <t>BRJ0118RWV</t>
  </si>
  <si>
    <t>001.052260731-3</t>
  </si>
  <si>
    <t>GNSJ7XA004101</t>
  </si>
  <si>
    <t>001.052262351-3</t>
  </si>
  <si>
    <t>SMCCSMB1429</t>
  </si>
  <si>
    <t>10.59.208.230</t>
  </si>
  <si>
    <t>BRJ0118RYJ</t>
  </si>
  <si>
    <t>001.052260762-3</t>
  </si>
  <si>
    <t>GNSJ8XA000525</t>
  </si>
  <si>
    <t>001.052262433-1</t>
  </si>
  <si>
    <t>SMCCSMB1418</t>
  </si>
  <si>
    <t>10.59.208.132</t>
  </si>
  <si>
    <t>1A832KV7W</t>
  </si>
  <si>
    <t>1AF01SK0J</t>
  </si>
  <si>
    <t>001.051098921-6</t>
  </si>
  <si>
    <t>SMCCSMB1417</t>
  </si>
  <si>
    <t>10.59.208.18</t>
  </si>
  <si>
    <t>BRJ0118RZH</t>
  </si>
  <si>
    <t>001.052260781-0</t>
  </si>
  <si>
    <t>GNSJ8XA000532</t>
  </si>
  <si>
    <t>001.052262437-4</t>
  </si>
  <si>
    <t>SMCCSMB1423</t>
  </si>
  <si>
    <t>10.59.208.226</t>
  </si>
  <si>
    <t>BRJ0118RXH</t>
  </si>
  <si>
    <t>001.052260740-2</t>
  </si>
  <si>
    <t>2° ANDAR CSMB RESERVADO</t>
  </si>
  <si>
    <t>3°ANDAR CSMB</t>
  </si>
  <si>
    <t>SMCCSMB1420</t>
  </si>
  <si>
    <t>10.59.209.1</t>
  </si>
  <si>
    <t>1A6714Q32</t>
  </si>
  <si>
    <t>SMCCSMB1500</t>
  </si>
  <si>
    <t>10.59.209.2</t>
  </si>
  <si>
    <t>1A6714Q5C</t>
  </si>
  <si>
    <t>LS19CBKABLZD</t>
  </si>
  <si>
    <t>0274HQBC300199L</t>
  </si>
  <si>
    <t>SMCCSMB1502</t>
  </si>
  <si>
    <t>10.59.209.3</t>
  </si>
  <si>
    <t>BRJ011BRYY</t>
  </si>
  <si>
    <t>001.052260768-2</t>
  </si>
  <si>
    <t>GNSJ8XA000492</t>
  </si>
  <si>
    <t>001.052262451-5</t>
  </si>
  <si>
    <t>SMCCSMB1421</t>
  </si>
  <si>
    <t>10.59.208.228</t>
  </si>
  <si>
    <t>1AF008H2L</t>
  </si>
  <si>
    <t>001.051098835-0</t>
  </si>
  <si>
    <t>1AF01SS9G</t>
  </si>
  <si>
    <t>3°ANDAR CSMB Reserva</t>
  </si>
  <si>
    <t>4°ANDAR CSMB</t>
  </si>
  <si>
    <t>CSMB-NOTE01</t>
  </si>
  <si>
    <t>WIFI</t>
  </si>
  <si>
    <t>LENOVO</t>
  </si>
  <si>
    <t>IDEAPAD3I</t>
  </si>
  <si>
    <t>PE09HDTK</t>
  </si>
  <si>
    <t>CSMB-NOTE02</t>
  </si>
  <si>
    <t>PE09HHMY</t>
  </si>
  <si>
    <t>CSMB-NOTE03</t>
  </si>
  <si>
    <t>PE09HJ06</t>
  </si>
  <si>
    <t>CSMB-NOTE04</t>
  </si>
  <si>
    <t>PE09HDT1</t>
  </si>
  <si>
    <t>4° ANDAR CSMB</t>
  </si>
  <si>
    <t>SMCCSMB1413</t>
  </si>
  <si>
    <t>10.59.209.49</t>
  </si>
  <si>
    <t>HN2C2L3</t>
  </si>
  <si>
    <t>001.053125500-9</t>
  </si>
  <si>
    <t>AOC
SAMSUNG</t>
  </si>
  <si>
    <t>21P1U
B1940W</t>
  </si>
  <si>
    <t>GNSJ7XA004154
529FHH3</t>
  </si>
  <si>
    <t>001.052282387-0
 001.053128902-7</t>
  </si>
  <si>
    <t>SMCCSMB9</t>
  </si>
  <si>
    <t>10.59.208.48</t>
  </si>
  <si>
    <t>3T2C2L3</t>
  </si>
  <si>
    <t>001.053124740-5</t>
  </si>
  <si>
    <t>DELL
AOC</t>
  </si>
  <si>
    <t>91VGHH3
GNSJ7XA004125</t>
  </si>
  <si>
    <t>001.053128373-8
001.052262355-6</t>
  </si>
  <si>
    <t>SMCCSMB1400</t>
  </si>
  <si>
    <t>10.59.208.154</t>
  </si>
  <si>
    <t>5ZZM2L3</t>
  </si>
  <si>
    <t>001.053125277-8</t>
  </si>
  <si>
    <t>DELL
POSITIVO</t>
  </si>
  <si>
    <t>P2422HB
E2023PWDB</t>
  </si>
  <si>
    <t>9L3GHH3
1AF01SS3M</t>
  </si>
  <si>
    <t>001.053128507-2</t>
  </si>
  <si>
    <t>SMCCSMB1401</t>
  </si>
  <si>
    <t>10.59.209.38</t>
  </si>
  <si>
    <t>BRJO118RXC</t>
  </si>
  <si>
    <t>001.52280738-4</t>
  </si>
  <si>
    <t>POSITIVO
AOC</t>
  </si>
  <si>
    <t>E2011PX
21P1U</t>
  </si>
  <si>
    <t>30708611
GNSJBXA000033</t>
  </si>
  <si>
    <t>001.050531796-5
001.052282377-7</t>
  </si>
  <si>
    <t>SMCCSMBC0000</t>
  </si>
  <si>
    <t>10.59.208.131</t>
  </si>
  <si>
    <t>BRJ0118S07</t>
  </si>
  <si>
    <t>001.052280798-4</t>
  </si>
  <si>
    <t>AOC
POSITIVO
POSITIVO</t>
  </si>
  <si>
    <t>24P1U
E2023PWDB
E2023PWDB</t>
  </si>
  <si>
    <t>GNSJ8XA000327
1AF01ST0A
1AF01T28C</t>
  </si>
  <si>
    <t>001.052262406-4
S/N
001.051.098.922-4</t>
  </si>
  <si>
    <t>SMCCSMB1466</t>
  </si>
  <si>
    <t>10.59.208.193</t>
  </si>
  <si>
    <t>BRJ0118S46</t>
  </si>
  <si>
    <t>001.052280823-9</t>
  </si>
  <si>
    <t>E2023PWDB
24P1U</t>
  </si>
  <si>
    <t>30473363
GNSJ7XA004141</t>
  </si>
  <si>
    <t>001.050457801-3
001.052262361-0</t>
  </si>
  <si>
    <t>SMCCSMB1407</t>
  </si>
  <si>
    <t>10.59.209.44</t>
  </si>
  <si>
    <t>OPITPLEX3080</t>
  </si>
  <si>
    <t>9R2C2L3</t>
  </si>
  <si>
    <t>001.053125485-1</t>
  </si>
  <si>
    <t>BDVGHHN</t>
  </si>
  <si>
    <t>001.053128673-7</t>
  </si>
  <si>
    <t>SMCCSMB1406</t>
  </si>
  <si>
    <t>10.59.208.125</t>
  </si>
  <si>
    <t>OPITPLEX3081</t>
  </si>
  <si>
    <t>603C2L3</t>
  </si>
  <si>
    <t>001.053125307-3</t>
  </si>
  <si>
    <t>AOC
DELL</t>
  </si>
  <si>
    <t>24P1U
P2422HB</t>
  </si>
  <si>
    <t>GNSJ7XA004158
JYHFHH3</t>
  </si>
  <si>
    <t>001.052262369-6
001.053128907-8</t>
  </si>
  <si>
    <t>SMCCSMB1414</t>
  </si>
  <si>
    <t>10.59.209.31</t>
  </si>
  <si>
    <t>5YZM2L3</t>
  </si>
  <si>
    <t>001.053125266-2</t>
  </si>
  <si>
    <t>D0RFHH3</t>
  </si>
  <si>
    <t>001.053128178-6</t>
  </si>
  <si>
    <t>SMCCSMB1409</t>
  </si>
  <si>
    <t>10.59.209.33</t>
  </si>
  <si>
    <t>BRJ0118RXD</t>
  </si>
  <si>
    <t>001.052260737-2</t>
  </si>
  <si>
    <t>GNSJ7XA004149</t>
  </si>
  <si>
    <t>001.052262364-5</t>
  </si>
  <si>
    <t>SMCCSMB1410</t>
  </si>
  <si>
    <t>10.59.209.32</t>
  </si>
  <si>
    <t>BRJ0018RZY</t>
  </si>
  <si>
    <t>001.052260793-3</t>
  </si>
  <si>
    <t>GNSJ7XA004136</t>
  </si>
  <si>
    <t>001.052262360-2</t>
  </si>
  <si>
    <t>SMCCSMB1430</t>
  </si>
  <si>
    <t>10.59.208.25</t>
  </si>
  <si>
    <t>GT2C2L3</t>
  </si>
  <si>
    <t>001.053124741-3</t>
  </si>
  <si>
    <t>2KMGHH3</t>
  </si>
  <si>
    <t>001.053128118-2</t>
  </si>
  <si>
    <t>SERVIDOR WDS</t>
  </si>
  <si>
    <t>10.59.208.126</t>
  </si>
  <si>
    <t>BRJ0118RXL</t>
  </si>
  <si>
    <t>001.052260772-6</t>
  </si>
  <si>
    <t>GNSJ8XA000339</t>
  </si>
  <si>
    <t>001.052262409-9</t>
  </si>
  <si>
    <t>SERVIDOR TECNOSET</t>
  </si>
  <si>
    <t>10.59.208.186</t>
  </si>
  <si>
    <t>12166045019290019</t>
  </si>
  <si>
    <t>001.051568672-6</t>
  </si>
  <si>
    <t>PHILCO</t>
  </si>
  <si>
    <t>TV 42''</t>
  </si>
  <si>
    <t>3280613474097A</t>
  </si>
  <si>
    <t>001.0045346006-1</t>
  </si>
  <si>
    <t xml:space="preserve">SERVIDOR </t>
  </si>
  <si>
    <t>10.59.208.180</t>
  </si>
  <si>
    <t>12166045019290088</t>
  </si>
  <si>
    <t>DHCP</t>
  </si>
  <si>
    <t>1A5961N4Y</t>
  </si>
  <si>
    <t>10.59.208.127</t>
  </si>
  <si>
    <t>12166045019290114</t>
  </si>
  <si>
    <t>NAS_CSMB</t>
  </si>
  <si>
    <t>10.59.208.178</t>
  </si>
  <si>
    <t>SMCCSMB1431</t>
  </si>
  <si>
    <t>10.59.208.148</t>
  </si>
  <si>
    <t>BYZM2L3</t>
  </si>
  <si>
    <t>001 - 053125242-5</t>
  </si>
  <si>
    <t>DELL/AOC</t>
  </si>
  <si>
    <t>22P1E/P2422HB</t>
  </si>
  <si>
    <t>GPHJ5XA003445/CN0663YCQDC0031J23TLA04</t>
  </si>
  <si>
    <t>001.052262402-1/001.053.12.8393-2</t>
  </si>
  <si>
    <t>4° ANDAR CSMB Reserva</t>
  </si>
  <si>
    <t>5° ANDAR CSMB</t>
  </si>
  <si>
    <t>SMCCSMB1463</t>
  </si>
  <si>
    <t>10.59.209.75</t>
  </si>
  <si>
    <t>BRJ0118RX8</t>
  </si>
  <si>
    <t>001.052260734-8</t>
  </si>
  <si>
    <t>GNSJBXA000466</t>
  </si>
  <si>
    <t>001.052262426-9</t>
  </si>
  <si>
    <t>SMCCSMB1403</t>
  </si>
  <si>
    <t>10.59.208.50</t>
  </si>
  <si>
    <t>GNSJ8XA000534</t>
  </si>
  <si>
    <t>001.052262439-0</t>
  </si>
  <si>
    <t>SMCCSMB1322</t>
  </si>
  <si>
    <t>10.59.208.129</t>
  </si>
  <si>
    <t>BRJ0118RZZ</t>
  </si>
  <si>
    <t>001.052260794-1</t>
  </si>
  <si>
    <t>GNSJ8XA000118</t>
  </si>
  <si>
    <t>001.052262386-6</t>
  </si>
  <si>
    <t>SMCCSMB1324</t>
  </si>
  <si>
    <t>1A5961Q32</t>
  </si>
  <si>
    <t>001.050457806-4</t>
  </si>
  <si>
    <t>SMCCSMB0687</t>
  </si>
  <si>
    <t>10.59.209.63</t>
  </si>
  <si>
    <t>FD7C2L3</t>
  </si>
  <si>
    <t>001.053124981-5</t>
  </si>
  <si>
    <t>BM6FHH3</t>
  </si>
  <si>
    <t>001.053128646-0</t>
  </si>
  <si>
    <t>SMCCSMB1461</t>
  </si>
  <si>
    <t>10.59.209.24</t>
  </si>
  <si>
    <t>BRJ0118RYV</t>
  </si>
  <si>
    <t>001.052260765-8</t>
  </si>
  <si>
    <t>AOC
POSITIVO</t>
  </si>
  <si>
    <t>24P1U   
E2023PWD8</t>
  </si>
  <si>
    <t>GNSJ7XA004153
1AF01S99V</t>
  </si>
  <si>
    <t>001.052262371-8 
001.051098920-8</t>
  </si>
  <si>
    <t>SMCCSMB1204</t>
  </si>
  <si>
    <t>10.59.208.67</t>
  </si>
  <si>
    <t>BRJ0118S0V</t>
  </si>
  <si>
    <t>001.052260801-8</t>
  </si>
  <si>
    <t>24P1U
S/N</t>
  </si>
  <si>
    <t>GNSJ8XA000450 
 1AF01SQ4L</t>
  </si>
  <si>
    <t>001.052262425-0
  001.0510988902-0</t>
  </si>
  <si>
    <t>SMCCSMB1462</t>
  </si>
  <si>
    <t>10.59.209.71</t>
  </si>
  <si>
    <t>BRJ0118S18</t>
  </si>
  <si>
    <t>001.052260607-7</t>
  </si>
  <si>
    <t>GNSJ8XA000159</t>
  </si>
  <si>
    <t>001.052262393-9</t>
  </si>
  <si>
    <t>10.59.209.61</t>
  </si>
  <si>
    <t>5R2C2L3</t>
  </si>
  <si>
    <t>001.053125508-4</t>
  </si>
  <si>
    <t>P2422HB
E2011P</t>
  </si>
  <si>
    <t>BSFFHH3
30469213</t>
  </si>
  <si>
    <t>001.053128924-8
001.050457802-1</t>
  </si>
  <si>
    <t>SMCCSMB1427</t>
  </si>
  <si>
    <t>10.59.209.68</t>
  </si>
  <si>
    <t>813C2L3</t>
  </si>
  <si>
    <t>001.053125294-8</t>
  </si>
  <si>
    <t>SMCCSMB0644</t>
  </si>
  <si>
    <t>10.59.209.72</t>
  </si>
  <si>
    <t>BRJ0118RZ4</t>
  </si>
  <si>
    <t>001.052260773-9</t>
  </si>
  <si>
    <t>25P1U</t>
  </si>
  <si>
    <t>GNSJ8XA000151</t>
  </si>
  <si>
    <t>001.052262392-0</t>
  </si>
  <si>
    <t>SMCCSMB1465</t>
  </si>
  <si>
    <t>10.59.208.54</t>
  </si>
  <si>
    <t>GQ3C2L3</t>
  </si>
  <si>
    <t>001.053124957-2</t>
  </si>
  <si>
    <t>PHILCO/TV</t>
  </si>
  <si>
    <t>SMCCSMB0698</t>
  </si>
  <si>
    <t>10.59.208.91</t>
  </si>
  <si>
    <t>5V3CSL3</t>
  </si>
  <si>
    <t>001.053125202-6</t>
  </si>
  <si>
    <t>DELL/POSITIVO</t>
  </si>
  <si>
    <t>P2422HB/E2011PX</t>
  </si>
  <si>
    <t>BR-067NW4-TVB00-1/AR-0F9B-A00</t>
  </si>
  <si>
    <t>001.050531799-0/001.053128884-5</t>
  </si>
  <si>
    <t>SMCCSMB1599</t>
  </si>
  <si>
    <t>10.59.210.5</t>
  </si>
  <si>
    <t>POSITVO/DELL</t>
  </si>
  <si>
    <t>E2011PX/P2422HB</t>
  </si>
  <si>
    <t>001.053128907/001.001.050457834-0</t>
  </si>
  <si>
    <t>SMCCSMB1490</t>
  </si>
  <si>
    <t>10.59.208.45</t>
  </si>
  <si>
    <t>DK2CL3</t>
  </si>
  <si>
    <t>001.053124913-0</t>
  </si>
  <si>
    <t>D4RFHH3/10879812</t>
  </si>
  <si>
    <t>001.053128168-9/001.050372564-0</t>
  </si>
  <si>
    <t>5°ANDAR CSMB</t>
  </si>
  <si>
    <t>SMCCSMB1491</t>
  </si>
  <si>
    <t>10.59.208.165</t>
  </si>
  <si>
    <t>GNSJ8XA000531</t>
  </si>
  <si>
    <t>001.052262436-6</t>
  </si>
  <si>
    <t>6° ANDAR CSMB</t>
  </si>
  <si>
    <t>SMCCSMB0665</t>
  </si>
  <si>
    <t>10.59.208.99</t>
  </si>
  <si>
    <t>BRJ0118S16</t>
  </si>
  <si>
    <t>001.052260805-0</t>
  </si>
  <si>
    <t>24P1U
E2011PX</t>
  </si>
  <si>
    <t>GNSLCXA000509
30473362</t>
  </si>
  <si>
    <t>001.052262388-2
S/N</t>
  </si>
  <si>
    <t>SMCCSMB0666</t>
  </si>
  <si>
    <t>10.59.209.98</t>
  </si>
  <si>
    <t>BRJ0118S02</t>
  </si>
  <si>
    <t>001.052260796-8</t>
  </si>
  <si>
    <t>24P1U
B1940W</t>
  </si>
  <si>
    <t>GNSJ7XA003892</t>
  </si>
  <si>
    <t>001.052262342-2
001.050457803-0</t>
  </si>
  <si>
    <t>SMCCSMB0682</t>
  </si>
  <si>
    <t>10.59.209.93</t>
  </si>
  <si>
    <t>2F3C2L3</t>
  </si>
  <si>
    <t>001.053125369-3</t>
  </si>
  <si>
    <t>HPCFHH3</t>
  </si>
  <si>
    <t>001.053128408-4</t>
  </si>
  <si>
    <t>SMCCSMB0676</t>
  </si>
  <si>
    <t>10.59.209.102</t>
  </si>
  <si>
    <t>BRJ0118RX0</t>
  </si>
  <si>
    <t>001.052260733-0</t>
  </si>
  <si>
    <t>GNSJ8XA000439</t>
  </si>
  <si>
    <t>001.052262423-4</t>
  </si>
  <si>
    <t>SMCCSMB0662</t>
  </si>
  <si>
    <t>10.59.208.95</t>
  </si>
  <si>
    <t>DC7C2L3</t>
  </si>
  <si>
    <t>001.053125002-3</t>
  </si>
  <si>
    <t>DELL
SAMSUNG</t>
  </si>
  <si>
    <t>P2422HB
B1940W</t>
  </si>
  <si>
    <t>B5WGHH3
0274HQAC302844B</t>
  </si>
  <si>
    <t>001.053128879-9
S/N</t>
  </si>
  <si>
    <t>SMCCSMB0667</t>
  </si>
  <si>
    <t>10.59.209.100</t>
  </si>
  <si>
    <t>JS2C2L3</t>
  </si>
  <si>
    <t>001.053124735-9</t>
  </si>
  <si>
    <t>DELL 
POSITIVO</t>
  </si>
  <si>
    <t>P2422HB
E2011PX</t>
  </si>
  <si>
    <t>69QFHH3
30469175</t>
  </si>
  <si>
    <t>001.053128390-8
001.050457785-8</t>
  </si>
  <si>
    <t>SMCCSMB0679</t>
  </si>
  <si>
    <t>10.59.209.104</t>
  </si>
  <si>
    <t>3T3C2L3</t>
  </si>
  <si>
    <t>001.053125196-8</t>
  </si>
  <si>
    <t>CP0FHH3
30470406</t>
  </si>
  <si>
    <t>001.053128136-0
S/N</t>
  </si>
  <si>
    <t>SMCCSMB0685</t>
  </si>
  <si>
    <t>10.59.209.94</t>
  </si>
  <si>
    <t>3B3C2L3</t>
  </si>
  <si>
    <t>001.053124689-1</t>
  </si>
  <si>
    <t>DY8FHH3</t>
  </si>
  <si>
    <t>001.053128128-0</t>
  </si>
  <si>
    <t>SMCCSMB0686</t>
  </si>
  <si>
    <t>10.59.209.96</t>
  </si>
  <si>
    <t>2T3C2L3</t>
  </si>
  <si>
    <t>001.053125180-1</t>
  </si>
  <si>
    <t>188FHH3
1AF01SP28</t>
  </si>
  <si>
    <t>001.053128125-5
001.0510988939-9</t>
  </si>
  <si>
    <t>SMCCSMB0703</t>
  </si>
  <si>
    <t>10.59.209.105</t>
  </si>
  <si>
    <t>DQ3C2L3</t>
  </si>
  <si>
    <t>001.053124945-9</t>
  </si>
  <si>
    <t>P2422HP
E2011PX</t>
  </si>
  <si>
    <t>9K1FHH3
30469815</t>
  </si>
  <si>
    <t>001.053128488-2
S/N</t>
  </si>
  <si>
    <t>SMCCSMB0680</t>
  </si>
  <si>
    <t>10.59.209.92</t>
  </si>
  <si>
    <t>4R3C2L3</t>
  </si>
  <si>
    <t>001.053124934-3</t>
  </si>
  <si>
    <t>94XGHH3
0274HQAC302886E</t>
  </si>
  <si>
    <t>001.053128341-0
S/N</t>
  </si>
  <si>
    <t>SMCCSMB0695</t>
  </si>
  <si>
    <t>10.59.209.91</t>
  </si>
  <si>
    <t>5V3C2L3</t>
  </si>
  <si>
    <t>BRWGHH3</t>
  </si>
  <si>
    <t>001.053128884-5</t>
  </si>
  <si>
    <t>SMCCSMB0363</t>
  </si>
  <si>
    <t>10.59.209.64</t>
  </si>
  <si>
    <t>BRJ0118S47</t>
  </si>
  <si>
    <t>001.052260624-7</t>
  </si>
  <si>
    <t>GNSJ8XA000514</t>
  </si>
  <si>
    <t>001.052262432-3</t>
  </si>
  <si>
    <t>10.59.208.192</t>
  </si>
  <si>
    <t>GV2C2L3</t>
  </si>
  <si>
    <t>DXGFHH3</t>
  </si>
  <si>
    <t>001.053128096-8</t>
  </si>
  <si>
    <t>SMCCSMB1199</t>
  </si>
  <si>
    <t>10.59.210.111</t>
  </si>
  <si>
    <t>DO3C2L3</t>
  </si>
  <si>
    <t>001.053125304-9</t>
  </si>
  <si>
    <t>2JPFHH3</t>
  </si>
  <si>
    <t>001.53128093-3</t>
  </si>
  <si>
    <t>2K3C2L3</t>
  </si>
  <si>
    <t>001.053124830-4</t>
  </si>
  <si>
    <t>HGSFHH3</t>
  </si>
  <si>
    <t>001.053128761-0</t>
  </si>
  <si>
    <t>9F3C2L3</t>
  </si>
  <si>
    <t>001.053125361-8</t>
  </si>
  <si>
    <t>7Q3C2L3</t>
  </si>
  <si>
    <t>001.053125963-3</t>
  </si>
  <si>
    <t>D4RFHH3</t>
  </si>
  <si>
    <t>001.053128168-9</t>
  </si>
  <si>
    <t>703C2L3</t>
  </si>
  <si>
    <t>001.053125302-2</t>
  </si>
  <si>
    <t>FQVDHH3</t>
  </si>
  <si>
    <t>001.053128258-0</t>
  </si>
  <si>
    <t>5L2C2L3</t>
  </si>
  <si>
    <t>001.053124896-7</t>
  </si>
  <si>
    <t>88VGHH3</t>
  </si>
  <si>
    <t>001.053128495-5</t>
  </si>
  <si>
    <t>DL2C2L3</t>
  </si>
  <si>
    <t>001.053124912-2</t>
  </si>
  <si>
    <t>2J8FHH3</t>
  </si>
  <si>
    <t>001.053128098-7</t>
  </si>
  <si>
    <t>BL2C2L3</t>
  </si>
  <si>
    <t>001.253124886-0</t>
  </si>
  <si>
    <t>9LVGHH3</t>
  </si>
  <si>
    <t>001.053128492-0</t>
  </si>
  <si>
    <t>DK2CSL3</t>
  </si>
  <si>
    <t>885GHH3</t>
  </si>
  <si>
    <t>001.053128509-9</t>
  </si>
  <si>
    <t>9S3C2L3</t>
  </si>
  <si>
    <t>001.053125197-6</t>
  </si>
  <si>
    <t>F5KFHH3</t>
  </si>
  <si>
    <t>001.053128267-7</t>
  </si>
  <si>
    <t>001.1053125275-1</t>
  </si>
  <si>
    <t>19YFHH3</t>
  </si>
  <si>
    <t>001.053128097-6</t>
  </si>
  <si>
    <t>2J5GHH3</t>
  </si>
  <si>
    <t>001.053128106-9</t>
  </si>
  <si>
    <t>BNNFHH3</t>
  </si>
  <si>
    <t>001.053128643-5</t>
  </si>
  <si>
    <t>BRJ0118RY9</t>
  </si>
  <si>
    <t>GNSJ7XA004146</t>
  </si>
  <si>
    <t>BRJ0118S0T</t>
  </si>
  <si>
    <t>001.052260800-0</t>
  </si>
  <si>
    <t>GNSJ8XA000326</t>
  </si>
  <si>
    <t>BRJ0118RWT-BRJ0118RZF</t>
  </si>
  <si>
    <t>BRJ0118S1H</t>
  </si>
  <si>
    <t>001.052260809-3</t>
  </si>
  <si>
    <t>GNSJ8XA000530</t>
  </si>
  <si>
    <t>BRJ0118RYC</t>
  </si>
  <si>
    <t>001.052260759-3</t>
  </si>
  <si>
    <t>GNSJ8XA000009</t>
  </si>
  <si>
    <t>BRJ0118S4C</t>
  </si>
  <si>
    <t>001.052260825-5</t>
  </si>
  <si>
    <t>GNSJ8XA000471</t>
  </si>
  <si>
    <t>BRJ0118RYX</t>
  </si>
  <si>
    <t>001.052260767-4</t>
  </si>
  <si>
    <t>GNSJ7XA004135</t>
  </si>
  <si>
    <t>BRJ0118RXW</t>
  </si>
  <si>
    <t>001.052260748-8</t>
  </si>
  <si>
    <t>GNSJ7XA004150</t>
  </si>
  <si>
    <t>BRJ0118RZV</t>
  </si>
  <si>
    <t>001.052260790-9</t>
  </si>
  <si>
    <t>BRJ0118RZT</t>
  </si>
  <si>
    <t>001.052260789-5</t>
  </si>
  <si>
    <t>001.052262434-0</t>
  </si>
  <si>
    <t>BRJ0118S4H</t>
  </si>
  <si>
    <t>001.052260828-0</t>
  </si>
  <si>
    <t>SETOR</t>
  </si>
  <si>
    <t>RESPONSAVEL</t>
  </si>
  <si>
    <t>SCT - Seção de Doação e Permuta</t>
  </si>
  <si>
    <t xml:space="preserve">VALIDAÇÃO </t>
  </si>
  <si>
    <t>COORDENADOR</t>
  </si>
  <si>
    <t>Affonso Taunay</t>
  </si>
  <si>
    <t>Local: Biblioteca Jovina Rocha lvares PessoaData: 30.01.2024Entrega: EquipamentosRetirada: noChamado: 8304Descrio: Entrega De DesktopStatus: Aguardando EntregaPowerAppsId: J_HsO3UfbpELocal: Biblioteca Jovina Rocha lvares PessoaData: 30.01.2024Entrega: EquipamentosRetirada: noChamado: 8304Descrio: Entrega De DesktopStatus: Aguardando EntregaPowerAppsId: J_HsO3UfbpE</t>
  </si>
  <si>
    <t>Meu gr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</si>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</sst>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6">
    <font>
      <sz val="10"/>
      <color rgb="FF000000"/>
      <name val="Arial"/>
      <scheme val="minor"/>
    </font>
    <font>
      <b/>
      <sz val="11"/>
      <color theme="1"/>
      <name val="Google Sans Mono"/>
    </font>
    <font>
      <u/>
      <sz val="9"/>
      <color rgb="FF000000"/>
      <name val="&quot;Google Sans Mono&quot;"/>
    </font>
    <font>
      <sz val="9"/>
      <color rgb="FF000000"/>
      <name val="&quot;Google Sans Mono&quot;"/>
    </font>
    <font>
      <sz val="10"/>
      <color theme="1"/>
      <name val="Google Sans Mono"/>
    </font>
    <font>
      <b/>
      <sz val="12"/>
      <color theme="1"/>
      <name val="Google Sans Mono"/>
    </font>
    <font>
      <sz val="11"/>
      <color rgb="FF000000"/>
      <name val="Google Sans Mono"/>
    </font>
    <font>
      <sz val="11"/>
      <color theme="1"/>
      <name val="Google Sans Mono"/>
    </font>
    <font>
      <u/>
      <sz val="11"/>
      <color rgb="FF0000FF"/>
      <name val="Google Sans Mono"/>
    </font>
    <font>
      <sz val="10"/>
      <color rgb="FF000000"/>
      <name val="Google Sans Mono"/>
    </font>
    <font>
      <sz val="11"/>
      <color theme="1"/>
      <name val="Arial"/>
      <family val="2"/>
    </font>
    <font>
      <sz val="13"/>
      <color rgb="FF000000"/>
      <name val="Google Sans Mono"/>
    </font>
    <font>
      <sz val="10"/>
      <color rgb="FF222222"/>
      <name val="Google Sans Mono"/>
    </font>
    <font>
      <sz val="10"/>
      <color rgb="FF000000"/>
      <name val="Arial"/>
      <family val="2"/>
      <scheme val="minor"/>
    </font>
    <font>
      <b/>
      <sz val="11"/>
      <color rgb="FF000000"/>
      <name val="Google Sans Mono"/>
    </font>
    <font>
      <b/>
      <sz val="12"/>
      <color rgb="FF000000"/>
      <name val="Google Sans Mono"/>
    </font>
    <font>
      <sz val="10"/>
      <name val="Arial"/>
      <family val="2"/>
    </font>
    <font>
      <i/>
      <u/>
      <sz val="11"/>
      <color rgb="FF0000FF"/>
      <name val="Google Sans Mono"/>
    </font>
    <font>
      <i/>
      <sz val="11"/>
      <color theme="1"/>
      <name val="Google Sans Mono"/>
    </font>
    <font>
      <sz val="11"/>
      <color rgb="FF201F1E"/>
      <name val="Google Sans Mono"/>
    </font>
    <font>
      <sz val="10"/>
      <color theme="1"/>
      <name val="Arial"/>
      <family val="2"/>
      <scheme val="minor"/>
    </font>
    <font>
      <u/>
      <sz val="11"/>
      <color theme="1"/>
      <name val="Google Sans Mono"/>
    </font>
    <font>
      <b/>
      <u/>
      <sz val="11"/>
      <color rgb="FF1155CC"/>
      <name val="Google Sans Mono"/>
    </font>
    <font>
      <sz val="11"/>
      <color rgb="FF1A1A1A"/>
      <name val="Google Sans Mono"/>
    </font>
    <font>
      <u/>
      <sz val="11"/>
      <color rgb="FF000000"/>
      <name val="Google Sans Mono"/>
    </font>
    <font>
      <sz val="11"/>
      <color rgb="FF1F1F1F"/>
      <name val="Google Sans"/>
    </font>
    <font>
      <sz val="11"/>
      <color rgb="FF1F1F1F"/>
      <name val="Google Sans Mono"/>
    </font>
    <font>
      <sz val="11"/>
      <color rgb="FF000000"/>
      <name val="Google Sans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1"/>
      <color rgb="FF000000"/>
      <name val="&quot;Google Sans Mono&quot;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</font>
    <font>
      <u/>
      <sz val="11"/>
      <color rgb="FF0000FF"/>
      <name val="&quot;Google Sans Mono&quot;"/>
    </font>
    <font>
      <u/>
      <sz val="10"/>
      <color rgb="FF0000FF"/>
      <name val="Arial"/>
      <family val="2"/>
    </font>
    <font>
      <sz val="10"/>
      <color theme="1"/>
      <name val="Helvetica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0"/>
      <color theme="1"/>
      <name val="Roboto"/>
    </font>
    <font>
      <sz val="12"/>
      <color rgb="FF198639"/>
      <name val="Arial"/>
      <family val="2"/>
    </font>
    <font>
      <sz val="11"/>
      <color theme="1"/>
      <name val="&quot;Google Sans Mono&quot;"/>
    </font>
    <font>
      <u/>
      <sz val="10"/>
      <color theme="10"/>
      <name val="Arial"/>
      <family val="2"/>
      <scheme val="minor"/>
    </font>
    <font>
      <u/>
      <sz val="10"/>
      <color theme="0"/>
      <name val="Arial"/>
      <family val="2"/>
      <scheme val="minor"/>
    </font>
    <font>
      <sz val="16"/>
      <color theme="1"/>
      <name val="Google Sans Mono"/>
    </font>
    <font>
      <sz val="16"/>
      <name val="Arial"/>
      <family val="2"/>
    </font>
    <font>
      <sz val="8"/>
      <name val="Arial"/>
      <family val="2"/>
      <scheme val="minor"/>
    </font>
    <font>
      <u/>
      <sz val="10"/>
      <color rgb="FF000000"/>
      <name val="Arial"/>
      <family val="2"/>
      <scheme val="minor"/>
    </font>
    <font>
      <sz val="11"/>
      <color rgb="FF000000"/>
      <name val="Googl"/>
    </font>
    <font>
      <u/>
      <sz val="11"/>
      <color rgb="FF0000FF"/>
      <name val="Arial"/>
      <family val="2"/>
    </font>
    <font>
      <u/>
      <sz val="11"/>
      <color rgb="FF0E04DA"/>
      <name val="Arial"/>
      <family val="2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i/>
      <sz val="14"/>
      <color rgb="FF0000FF"/>
      <name val="Google Sans Mono"/>
    </font>
    <font>
      <u/>
      <sz val="10"/>
      <color rgb="FF0000FF"/>
      <name val="Arial"/>
      <family val="2"/>
      <scheme val="minor"/>
    </font>
    <font>
      <sz val="10"/>
      <color rgb="FF0E04DA"/>
      <name val="Arial"/>
      <family val="2"/>
      <scheme val="minor"/>
    </font>
    <font>
      <sz val="11"/>
      <color theme="10"/>
      <name val="Arial"/>
      <family val="2"/>
      <scheme val="minor"/>
    </font>
    <font>
      <sz val="11"/>
      <color rgb="FF000000"/>
      <name val="Arial Narrow"/>
      <family val="2"/>
    </font>
    <font>
      <sz val="11"/>
      <color rgb="FF000000"/>
      <name val="Garamond"/>
      <family val="1"/>
    </font>
    <font>
      <sz val="9"/>
      <color indexed="81"/>
      <name val="Segoe UI"/>
      <family val="2"/>
    </font>
    <font>
      <b/>
      <sz val="14"/>
      <color theme="2"/>
      <name val="Arial"/>
      <family val="2"/>
      <scheme val="minor"/>
    </font>
    <font>
      <sz val="11"/>
      <color theme="2"/>
      <name val="Google Sans Mono"/>
    </font>
    <font>
      <b/>
      <u/>
      <sz val="11"/>
      <color theme="2"/>
      <name val="Google Sans Mono"/>
    </font>
    <font>
      <sz val="11"/>
      <color rgb="FF000000"/>
      <name val="Arial"/>
      <family val="2"/>
      <scheme val="minor"/>
    </font>
    <font>
      <b/>
      <sz val="9"/>
      <color indexed="81"/>
      <name val="Segoe UI"/>
      <family val="2"/>
    </font>
    <font>
      <b/>
      <sz val="11"/>
      <color theme="0"/>
      <name val="Arial"/>
      <family val="2"/>
      <scheme val="minor"/>
    </font>
    <font>
      <sz val="16"/>
      <color rgb="FF000000"/>
      <name val="Times New Roman"/>
      <family val="1"/>
    </font>
    <font>
      <sz val="11"/>
      <color rgb="FF000000"/>
      <name val="Calibri"/>
      <family val="2"/>
    </font>
    <font>
      <sz val="12"/>
      <color rgb="FF333333"/>
      <name val="Times New Roman"/>
      <family val="1"/>
    </font>
    <font>
      <sz val="11"/>
      <color rgb="FF00B050"/>
      <name val="Calibri"/>
      <family val="2"/>
    </font>
    <font>
      <sz val="11"/>
      <color rgb="FFFF0000"/>
      <name val="Calibri"/>
      <family val="2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sz val="11"/>
      <color rgb="FFC82613"/>
      <name val="Calibri"/>
      <family val="2"/>
    </font>
    <font>
      <sz val="12"/>
      <color rgb="FFC82613"/>
      <name val="Times New Roman"/>
      <family val="1"/>
    </font>
    <font>
      <sz val="16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999999"/>
        <bgColor rgb="FF999999"/>
      </patternFill>
    </fill>
    <fill>
      <patternFill patternType="solid">
        <fgColor rgb="FFF4CCCC"/>
        <bgColor rgb="FFF4CCCC"/>
      </patternFill>
    </fill>
    <fill>
      <patternFill patternType="solid">
        <fgColor rgb="FFD9EAD3"/>
        <bgColor rgb="FFD9EAD3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434343"/>
        <bgColor rgb="FF434343"/>
      </patternFill>
    </fill>
    <fill>
      <patternFill patternType="solid">
        <fgColor rgb="FF9FC5E8"/>
        <bgColor rgb="FF9FC5E8"/>
      </patternFill>
    </fill>
    <fill>
      <patternFill patternType="solid">
        <fgColor rgb="FFB6D7A8"/>
        <bgColor rgb="FFB6D7A8"/>
      </patternFill>
    </fill>
    <fill>
      <patternFill patternType="solid">
        <fgColor rgb="FFFF9900"/>
        <bgColor rgb="FFFF9900"/>
      </patternFill>
    </fill>
    <fill>
      <patternFill patternType="solid">
        <fgColor rgb="FFC9DAF8"/>
        <bgColor rgb="FFC9DAF8"/>
      </patternFill>
    </fill>
    <fill>
      <patternFill patternType="solid">
        <fgColor rgb="FFD0E0E3"/>
        <bgColor rgb="FFD0E0E3"/>
      </patternFill>
    </fill>
    <fill>
      <patternFill patternType="solid">
        <fgColor rgb="FFEFEFEF"/>
        <bgColor rgb="FFEFEFE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D9EAD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DCE6F1"/>
        <bgColor indexed="64"/>
      </patternFill>
    </fill>
  </fills>
  <borders count="6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2" fillId="0" borderId="0" applyNumberFormat="0" applyFill="0" applyBorder="0" applyAlignment="0" applyProtection="0"/>
    <xf numFmtId="0" fontId="52" fillId="0" borderId="0" applyNumberFormat="0" applyFill="0" applyBorder="0" applyAlignment="0" applyProtection="0"/>
  </cellStyleXfs>
  <cellXfs count="455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2" borderId="0" xfId="0" applyFont="1" applyFill="1" applyAlignment="1">
      <alignment horizontal="center" vertical="center"/>
    </xf>
    <xf numFmtId="0" fontId="6" fillId="3" borderId="1" xfId="0" applyFont="1" applyFill="1" applyBorder="1" applyAlignment="1">
      <alignment horizontal="left"/>
    </xf>
    <xf numFmtId="0" fontId="6" fillId="0" borderId="1" xfId="0" applyFont="1" applyBorder="1"/>
    <xf numFmtId="0" fontId="7" fillId="0" borderId="1" xfId="0" applyFont="1" applyBorder="1"/>
    <xf numFmtId="0" fontId="9" fillId="3" borderId="1" xfId="0" applyFont="1" applyFill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10" fillId="3" borderId="1" xfId="0" applyFont="1" applyFill="1" applyBorder="1" applyAlignment="1">
      <alignment horizontal="center" wrapText="1"/>
    </xf>
    <xf numFmtId="0" fontId="7" fillId="0" borderId="0" xfId="0" applyFont="1"/>
    <xf numFmtId="0" fontId="6" fillId="3" borderId="1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1" xfId="0" applyFont="1" applyFill="1" applyBorder="1" applyAlignment="1">
      <alignment vertical="top"/>
    </xf>
    <xf numFmtId="0" fontId="7" fillId="3" borderId="1" xfId="0" applyFont="1" applyFill="1" applyBorder="1" applyAlignment="1">
      <alignment horizontal="left" wrapText="1"/>
    </xf>
    <xf numFmtId="0" fontId="4" fillId="3" borderId="1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center" wrapText="1"/>
    </xf>
    <xf numFmtId="0" fontId="11" fillId="0" borderId="1" xfId="0" applyFont="1" applyBorder="1"/>
    <xf numFmtId="0" fontId="12" fillId="3" borderId="1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9" fillId="0" borderId="1" xfId="0" applyFont="1" applyBorder="1"/>
    <xf numFmtId="0" fontId="7" fillId="3" borderId="1" xfId="0" applyFont="1" applyFill="1" applyBorder="1" applyAlignment="1">
      <alignment horizontal="center"/>
    </xf>
    <xf numFmtId="0" fontId="6" fillId="0" borderId="0" xfId="0" applyFont="1"/>
    <xf numFmtId="0" fontId="10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3" borderId="1" xfId="0" applyFont="1" applyFill="1" applyBorder="1"/>
    <xf numFmtId="0" fontId="4" fillId="0" borderId="0" xfId="0" applyFont="1"/>
    <xf numFmtId="0" fontId="11" fillId="0" borderId="0" xfId="0" applyFont="1"/>
    <xf numFmtId="0" fontId="6" fillId="6" borderId="1" xfId="0" applyFont="1" applyFill="1" applyBorder="1"/>
    <xf numFmtId="0" fontId="7" fillId="6" borderId="1" xfId="0" applyFont="1" applyFill="1" applyBorder="1" applyAlignment="1">
      <alignment horizontal="center"/>
    </xf>
    <xf numFmtId="0" fontId="18" fillId="7" borderId="0" xfId="0" applyFont="1" applyFill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 wrapText="1"/>
    </xf>
    <xf numFmtId="0" fontId="15" fillId="8" borderId="0" xfId="0" applyFont="1" applyFill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19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7" fillId="9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10" borderId="0" xfId="0" applyFont="1" applyFill="1" applyAlignment="1">
      <alignment vertical="center"/>
    </xf>
    <xf numFmtId="0" fontId="21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8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/>
    </xf>
    <xf numFmtId="0" fontId="20" fillId="0" borderId="0" xfId="0" applyFont="1"/>
    <xf numFmtId="0" fontId="20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30" fillId="3" borderId="17" xfId="0" applyFont="1" applyFill="1" applyBorder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33" fillId="14" borderId="1" xfId="0" applyFont="1" applyFill="1" applyBorder="1" applyAlignment="1">
      <alignment horizontal="center" vertical="center"/>
    </xf>
    <xf numFmtId="0" fontId="33" fillId="15" borderId="1" xfId="0" applyFont="1" applyFill="1" applyBorder="1" applyAlignment="1">
      <alignment horizontal="center" vertical="center"/>
    </xf>
    <xf numFmtId="0" fontId="34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8" fillId="3" borderId="4" xfId="0" applyFont="1" applyFill="1" applyBorder="1" applyAlignment="1">
      <alignment horizontal="center"/>
    </xf>
    <xf numFmtId="0" fontId="28" fillId="3" borderId="13" xfId="0" applyFont="1" applyFill="1" applyBorder="1" applyAlignment="1">
      <alignment horizontal="center"/>
    </xf>
    <xf numFmtId="0" fontId="28" fillId="3" borderId="4" xfId="0" applyFont="1" applyFill="1" applyBorder="1"/>
    <xf numFmtId="0" fontId="28" fillId="3" borderId="13" xfId="0" applyFont="1" applyFill="1" applyBorder="1"/>
    <xf numFmtId="0" fontId="20" fillId="3" borderId="0" xfId="0" applyFont="1" applyFill="1" applyAlignment="1">
      <alignment horizontal="center" vertical="center"/>
    </xf>
    <xf numFmtId="0" fontId="36" fillId="3" borderId="13" xfId="0" applyFont="1" applyFill="1" applyBorder="1" applyAlignment="1">
      <alignment horizontal="center"/>
    </xf>
    <xf numFmtId="0" fontId="28" fillId="3" borderId="5" xfId="0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/>
    </xf>
    <xf numFmtId="0" fontId="28" fillId="3" borderId="11" xfId="0" applyFont="1" applyFill="1" applyBorder="1"/>
    <xf numFmtId="49" fontId="28" fillId="3" borderId="13" xfId="0" applyNumberFormat="1" applyFont="1" applyFill="1" applyBorder="1" applyAlignment="1">
      <alignment horizontal="center"/>
    </xf>
    <xf numFmtId="0" fontId="28" fillId="3" borderId="4" xfId="0" applyFont="1" applyFill="1" applyBorder="1" applyAlignment="1">
      <alignment horizontal="center" vertical="center"/>
    </xf>
    <xf numFmtId="3" fontId="28" fillId="3" borderId="13" xfId="0" applyNumberFormat="1" applyFont="1" applyFill="1" applyBorder="1" applyAlignment="1">
      <alignment horizontal="center"/>
    </xf>
    <xf numFmtId="0" fontId="38" fillId="3" borderId="4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36" fillId="3" borderId="13" xfId="0" applyFont="1" applyFill="1" applyBorder="1"/>
    <xf numFmtId="0" fontId="39" fillId="3" borderId="13" xfId="0" applyFont="1" applyFill="1" applyBorder="1" applyAlignment="1">
      <alignment horizontal="center"/>
    </xf>
    <xf numFmtId="0" fontId="38" fillId="3" borderId="10" xfId="0" applyFont="1" applyFill="1" applyBorder="1" applyAlignment="1">
      <alignment horizontal="center" vertical="center"/>
    </xf>
    <xf numFmtId="0" fontId="38" fillId="3" borderId="12" xfId="0" applyFont="1" applyFill="1" applyBorder="1" applyAlignment="1">
      <alignment horizontal="center" vertical="center"/>
    </xf>
    <xf numFmtId="0" fontId="28" fillId="3" borderId="15" xfId="0" applyFont="1" applyFill="1" applyBorder="1" applyAlignment="1">
      <alignment horizontal="center"/>
    </xf>
    <xf numFmtId="0" fontId="39" fillId="3" borderId="13" xfId="0" quotePrefix="1" applyFont="1" applyFill="1" applyBorder="1" applyAlignment="1">
      <alignment horizontal="center"/>
    </xf>
    <xf numFmtId="0" fontId="28" fillId="3" borderId="13" xfId="0" quotePrefix="1" applyFont="1" applyFill="1" applyBorder="1"/>
    <xf numFmtId="0" fontId="38" fillId="3" borderId="5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/>
    </xf>
    <xf numFmtId="3" fontId="38" fillId="3" borderId="13" xfId="0" applyNumberFormat="1" applyFont="1" applyFill="1" applyBorder="1" applyAlignment="1">
      <alignment horizontal="center"/>
    </xf>
    <xf numFmtId="0" fontId="38" fillId="3" borderId="13" xfId="0" applyFont="1" applyFill="1" applyBorder="1" applyAlignment="1">
      <alignment horizontal="center"/>
    </xf>
    <xf numFmtId="0" fontId="28" fillId="3" borderId="10" xfId="0" applyFont="1" applyFill="1" applyBorder="1"/>
    <xf numFmtId="0" fontId="28" fillId="3" borderId="0" xfId="0" applyFont="1" applyFill="1"/>
    <xf numFmtId="0" fontId="28" fillId="3" borderId="12" xfId="0" applyFont="1" applyFill="1" applyBorder="1"/>
    <xf numFmtId="0" fontId="28" fillId="3" borderId="15" xfId="0" applyFont="1" applyFill="1" applyBorder="1"/>
    <xf numFmtId="0" fontId="20" fillId="0" borderId="1" xfId="0" applyFont="1" applyBorder="1"/>
    <xf numFmtId="0" fontId="40" fillId="3" borderId="1" xfId="0" applyFont="1" applyFill="1" applyBorder="1" applyAlignment="1">
      <alignment horizontal="left"/>
    </xf>
    <xf numFmtId="0" fontId="41" fillId="0" borderId="1" xfId="0" applyFont="1" applyBorder="1"/>
    <xf numFmtId="0" fontId="3" fillId="3" borderId="1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40" fillId="3" borderId="6" xfId="0" applyFont="1" applyFill="1" applyBorder="1" applyAlignment="1">
      <alignment horizontal="left"/>
    </xf>
    <xf numFmtId="0" fontId="20" fillId="16" borderId="1" xfId="0" applyFont="1" applyFill="1" applyBorder="1"/>
    <xf numFmtId="0" fontId="28" fillId="16" borderId="1" xfId="0" applyFont="1" applyFill="1" applyBorder="1"/>
    <xf numFmtId="0" fontId="8" fillId="3" borderId="1" xfId="0" applyFont="1" applyFill="1" applyBorder="1" applyAlignment="1">
      <alignment horizontal="left"/>
    </xf>
    <xf numFmtId="0" fontId="8" fillId="3" borderId="2" xfId="0" applyFont="1" applyFill="1" applyBorder="1" applyAlignment="1">
      <alignment horizontal="center" wrapText="1"/>
    </xf>
    <xf numFmtId="0" fontId="8" fillId="3" borderId="0" xfId="0" applyFont="1" applyFill="1" applyAlignment="1">
      <alignment horizontal="center"/>
    </xf>
    <xf numFmtId="0" fontId="8" fillId="3" borderId="1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3" borderId="1" xfId="0" applyFont="1" applyFill="1" applyBorder="1"/>
    <xf numFmtId="0" fontId="8" fillId="0" borderId="0" xfId="0" applyFont="1"/>
    <xf numFmtId="0" fontId="8" fillId="0" borderId="1" xfId="0" applyFont="1" applyBorder="1" applyAlignment="1">
      <alignment horizontal="left"/>
    </xf>
    <xf numFmtId="0" fontId="8" fillId="0" borderId="1" xfId="0" applyFont="1" applyBorder="1"/>
    <xf numFmtId="0" fontId="8" fillId="0" borderId="1" xfId="0" applyFont="1" applyBorder="1" applyAlignment="1">
      <alignment vertical="center"/>
    </xf>
    <xf numFmtId="0" fontId="8" fillId="3" borderId="3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26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24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6" fillId="0" borderId="13" xfId="0" applyFont="1" applyBorder="1" applyAlignment="1">
      <alignment vertical="center" wrapText="1"/>
    </xf>
    <xf numFmtId="0" fontId="14" fillId="13" borderId="13" xfId="0" applyFont="1" applyFill="1" applyBorder="1" applyAlignment="1">
      <alignment horizontal="center" vertical="center" wrapText="1"/>
    </xf>
    <xf numFmtId="0" fontId="14" fillId="13" borderId="11" xfId="0" applyFont="1" applyFill="1" applyBorder="1" applyAlignment="1">
      <alignment horizontal="center" vertical="center" wrapText="1"/>
    </xf>
    <xf numFmtId="0" fontId="14" fillId="13" borderId="4" xfId="0" applyFont="1" applyFill="1" applyBorder="1" applyAlignment="1">
      <alignment horizontal="center" vertical="center" wrapText="1"/>
    </xf>
    <xf numFmtId="0" fontId="14" fillId="13" borderId="22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wrapText="1"/>
    </xf>
    <xf numFmtId="0" fontId="26" fillId="3" borderId="11" xfId="0" applyFont="1" applyFill="1" applyBorder="1" applyAlignment="1">
      <alignment horizontal="center" wrapText="1"/>
    </xf>
    <xf numFmtId="0" fontId="26" fillId="3" borderId="24" xfId="0" applyFont="1" applyFill="1" applyBorder="1" applyAlignment="1">
      <alignment horizontal="center" wrapText="1"/>
    </xf>
    <xf numFmtId="0" fontId="25" fillId="3" borderId="2" xfId="0" applyFont="1" applyFill="1" applyBorder="1" applyAlignment="1">
      <alignment wrapText="1"/>
    </xf>
    <xf numFmtId="0" fontId="27" fillId="0" borderId="2" xfId="0" applyFont="1" applyBorder="1" applyAlignment="1">
      <alignment horizontal="left" vertical="center" wrapText="1"/>
    </xf>
    <xf numFmtId="0" fontId="8" fillId="0" borderId="23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wrapText="1"/>
    </xf>
    <xf numFmtId="0" fontId="7" fillId="0" borderId="26" xfId="0" applyFont="1" applyBorder="1" applyAlignment="1">
      <alignment horizontal="center" wrapText="1"/>
    </xf>
    <xf numFmtId="0" fontId="8" fillId="0" borderId="25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right" vertical="center" wrapText="1"/>
    </xf>
    <xf numFmtId="0" fontId="6" fillId="0" borderId="33" xfId="0" applyFont="1" applyBorder="1" applyAlignment="1">
      <alignment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3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left" vertical="center" wrapText="1"/>
    </xf>
    <xf numFmtId="0" fontId="6" fillId="4" borderId="28" xfId="0" applyFont="1" applyFill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47" fillId="0" borderId="0" xfId="0" applyFont="1"/>
    <xf numFmtId="0" fontId="13" fillId="0" borderId="0" xfId="0" applyFont="1"/>
    <xf numFmtId="0" fontId="15" fillId="8" borderId="6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left"/>
    </xf>
    <xf numFmtId="0" fontId="10" fillId="3" borderId="1" xfId="0" applyFont="1" applyFill="1" applyBorder="1" applyAlignment="1">
      <alignment horizontal="left" wrapText="1"/>
    </xf>
    <xf numFmtId="0" fontId="0" fillId="18" borderId="38" xfId="0" applyFill="1" applyBorder="1"/>
    <xf numFmtId="0" fontId="43" fillId="19" borderId="38" xfId="1" applyFont="1" applyFill="1" applyBorder="1" applyAlignment="1">
      <alignment horizontal="center" vertical="center" wrapText="1"/>
    </xf>
    <xf numFmtId="0" fontId="43" fillId="18" borderId="38" xfId="1" applyFont="1" applyFill="1" applyBorder="1" applyAlignment="1">
      <alignment horizontal="center" vertical="center" wrapText="1"/>
    </xf>
    <xf numFmtId="0" fontId="43" fillId="19" borderId="38" xfId="1" applyFont="1" applyFill="1" applyBorder="1" applyAlignment="1">
      <alignment horizontal="center" wrapText="1"/>
    </xf>
    <xf numFmtId="0" fontId="43" fillId="18" borderId="38" xfId="1" applyFont="1" applyFill="1" applyBorder="1" applyAlignment="1">
      <alignment horizontal="center" wrapText="1"/>
    </xf>
    <xf numFmtId="0" fontId="8" fillId="20" borderId="1" xfId="0" applyFont="1" applyFill="1" applyBorder="1" applyAlignment="1">
      <alignment horizontal="left"/>
    </xf>
    <xf numFmtId="0" fontId="8" fillId="20" borderId="1" xfId="0" applyFont="1" applyFill="1" applyBorder="1" applyAlignment="1">
      <alignment horizontal="left" wrapText="1"/>
    </xf>
    <xf numFmtId="0" fontId="49" fillId="20" borderId="4" xfId="1" applyFont="1" applyFill="1" applyBorder="1"/>
    <xf numFmtId="0" fontId="50" fillId="3" borderId="1" xfId="1" applyFont="1" applyFill="1" applyBorder="1"/>
    <xf numFmtId="0" fontId="50" fillId="3" borderId="4" xfId="1" applyFont="1" applyFill="1" applyBorder="1"/>
    <xf numFmtId="0" fontId="6" fillId="3" borderId="4" xfId="0" applyFont="1" applyFill="1" applyBorder="1" applyAlignment="1">
      <alignment horizontal="left"/>
    </xf>
    <xf numFmtId="0" fontId="6" fillId="0" borderId="4" xfId="0" applyFont="1" applyBorder="1"/>
    <xf numFmtId="0" fontId="7" fillId="0" borderId="4" xfId="0" applyFont="1" applyBorder="1"/>
    <xf numFmtId="0" fontId="8" fillId="3" borderId="4" xfId="0" applyFont="1" applyFill="1" applyBorder="1" applyAlignment="1">
      <alignment horizontal="left"/>
    </xf>
    <xf numFmtId="0" fontId="9" fillId="3" borderId="4" xfId="0" applyFont="1" applyFill="1" applyBorder="1" applyAlignment="1">
      <alignment horizontal="left"/>
    </xf>
    <xf numFmtId="0" fontId="7" fillId="0" borderId="4" xfId="0" applyFont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10" fillId="3" borderId="4" xfId="0" applyFont="1" applyFill="1" applyBorder="1" applyAlignment="1">
      <alignment horizontal="center" wrapText="1"/>
    </xf>
    <xf numFmtId="0" fontId="1" fillId="2" borderId="38" xfId="0" applyFont="1" applyFill="1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5" fillId="2" borderId="38" xfId="0" applyFont="1" applyFill="1" applyBorder="1" applyAlignment="1">
      <alignment horizontal="center" vertical="center"/>
    </xf>
    <xf numFmtId="0" fontId="5" fillId="2" borderId="38" xfId="0" applyFont="1" applyFill="1" applyBorder="1" applyAlignment="1">
      <alignment horizontal="center" vertical="center" wrapText="1"/>
    </xf>
    <xf numFmtId="0" fontId="7" fillId="20" borderId="1" xfId="0" applyFont="1" applyFill="1" applyBorder="1" applyAlignment="1">
      <alignment horizontal="left"/>
    </xf>
    <xf numFmtId="0" fontId="1" fillId="2" borderId="39" xfId="0" applyFont="1" applyFill="1" applyBorder="1" applyAlignment="1">
      <alignment horizontal="center" vertical="center"/>
    </xf>
    <xf numFmtId="0" fontId="1" fillId="19" borderId="39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18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 wrapText="1"/>
    </xf>
    <xf numFmtId="0" fontId="4" fillId="18" borderId="38" xfId="0" applyFont="1" applyFill="1" applyBorder="1"/>
    <xf numFmtId="0" fontId="0" fillId="0" borderId="1" xfId="0" applyBorder="1"/>
    <xf numFmtId="0" fontId="43" fillId="19" borderId="38" xfId="1" applyFont="1" applyFill="1" applyBorder="1" applyAlignment="1">
      <alignment vertical="center"/>
    </xf>
    <xf numFmtId="0" fontId="1" fillId="22" borderId="38" xfId="0" applyFont="1" applyFill="1" applyBorder="1" applyAlignment="1">
      <alignment horizontal="center" vertical="center"/>
    </xf>
    <xf numFmtId="0" fontId="1" fillId="22" borderId="38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vertical="center"/>
    </xf>
    <xf numFmtId="0" fontId="51" fillId="17" borderId="1" xfId="0" applyFont="1" applyFill="1" applyBorder="1"/>
    <xf numFmtId="0" fontId="51" fillId="21" borderId="1" xfId="0" applyFont="1" applyFill="1" applyBorder="1"/>
    <xf numFmtId="0" fontId="0" fillId="0" borderId="1" xfId="0" applyBorder="1" applyAlignment="1">
      <alignment horizontal="center"/>
    </xf>
    <xf numFmtId="0" fontId="6" fillId="3" borderId="6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center" wrapText="1"/>
    </xf>
    <xf numFmtId="0" fontId="7" fillId="3" borderId="4" xfId="0" applyFont="1" applyFill="1" applyBorder="1" applyAlignment="1">
      <alignment horizontal="center" wrapText="1"/>
    </xf>
    <xf numFmtId="0" fontId="43" fillId="19" borderId="39" xfId="1" applyFont="1" applyFill="1" applyBorder="1" applyAlignment="1">
      <alignment horizontal="center" vertical="center" wrapText="1"/>
    </xf>
    <xf numFmtId="0" fontId="5" fillId="2" borderId="43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 wrapText="1"/>
    </xf>
    <xf numFmtId="0" fontId="1" fillId="2" borderId="43" xfId="0" applyFont="1" applyFill="1" applyBorder="1" applyAlignment="1">
      <alignment horizontal="center" vertical="center"/>
    </xf>
    <xf numFmtId="0" fontId="43" fillId="18" borderId="44" xfId="1" applyFont="1" applyFill="1" applyBorder="1" applyAlignment="1">
      <alignment horizontal="center" vertical="center" wrapText="1"/>
    </xf>
    <xf numFmtId="0" fontId="43" fillId="19" borderId="45" xfId="1" applyFont="1" applyFill="1" applyBorder="1" applyAlignment="1">
      <alignment horizontal="center" wrapText="1"/>
    </xf>
    <xf numFmtId="0" fontId="43" fillId="18" borderId="45" xfId="1" applyFont="1" applyFill="1" applyBorder="1" applyAlignment="1">
      <alignment horizontal="center" wrapText="1"/>
    </xf>
    <xf numFmtId="0" fontId="43" fillId="18" borderId="45" xfId="1" applyFont="1" applyFill="1" applyBorder="1" applyAlignment="1">
      <alignment horizontal="center" vertical="center" wrapText="1"/>
    </xf>
    <xf numFmtId="0" fontId="1" fillId="19" borderId="46" xfId="0" applyFont="1" applyFill="1" applyBorder="1" applyAlignment="1">
      <alignment horizontal="center" vertical="center"/>
    </xf>
    <xf numFmtId="0" fontId="0" fillId="23" borderId="0" xfId="0" applyFill="1"/>
    <xf numFmtId="0" fontId="6" fillId="0" borderId="13" xfId="0" quotePrefix="1" applyFont="1" applyBorder="1" applyAlignment="1">
      <alignment horizontal="center" vertical="center" wrapText="1"/>
    </xf>
    <xf numFmtId="0" fontId="0" fillId="23" borderId="0" xfId="0" applyFill="1" applyAlignment="1">
      <alignment horizontal="center" vertical="center" wrapText="1" indent="1"/>
    </xf>
    <xf numFmtId="0" fontId="21" fillId="3" borderId="0" xfId="0" applyFont="1" applyFill="1" applyAlignment="1">
      <alignment horizontal="center" vertical="center" wrapText="1"/>
    </xf>
    <xf numFmtId="0" fontId="7" fillId="25" borderId="6" xfId="0" applyFont="1" applyFill="1" applyBorder="1" applyAlignment="1">
      <alignment horizontal="center" vertical="center" wrapText="1"/>
    </xf>
    <xf numFmtId="0" fontId="7" fillId="0" borderId="8" xfId="0" applyFont="1" applyBorder="1"/>
    <xf numFmtId="0" fontId="7" fillId="0" borderId="6" xfId="0" applyFont="1" applyBorder="1"/>
    <xf numFmtId="0" fontId="6" fillId="3" borderId="6" xfId="0" applyFont="1" applyFill="1" applyBorder="1"/>
    <xf numFmtId="0" fontId="7" fillId="0" borderId="3" xfId="0" applyFont="1" applyBorder="1" applyAlignment="1">
      <alignment horizontal="center"/>
    </xf>
    <xf numFmtId="0" fontId="7" fillId="0" borderId="3" xfId="0" applyFont="1" applyBorder="1"/>
    <xf numFmtId="0" fontId="6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11" fillId="0" borderId="0" xfId="0" applyFont="1" applyAlignment="1">
      <alignment vertical="center"/>
    </xf>
    <xf numFmtId="0" fontId="4" fillId="0" borderId="1" xfId="0" applyFont="1" applyBorder="1"/>
    <xf numFmtId="0" fontId="7" fillId="0" borderId="2" xfId="0" applyFont="1" applyBorder="1" applyAlignment="1">
      <alignment horizontal="center"/>
    </xf>
    <xf numFmtId="0" fontId="1" fillId="2" borderId="47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0" fillId="0" borderId="3" xfId="0" applyBorder="1"/>
    <xf numFmtId="0" fontId="7" fillId="0" borderId="12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23" borderId="0" xfId="0" applyFill="1" applyAlignment="1">
      <alignment horizontal="center"/>
    </xf>
    <xf numFmtId="0" fontId="0" fillId="0" borderId="0" xfId="0" applyAlignment="1">
      <alignment horizontal="center"/>
    </xf>
    <xf numFmtId="0" fontId="6" fillId="17" borderId="4" xfId="0" applyFont="1" applyFill="1" applyBorder="1"/>
    <xf numFmtId="0" fontId="42" fillId="25" borderId="0" xfId="2" applyFont="1" applyFill="1" applyAlignment="1">
      <alignment horizontal="center" vertical="center" wrapText="1"/>
    </xf>
    <xf numFmtId="0" fontId="17" fillId="24" borderId="6" xfId="0" applyFont="1" applyFill="1" applyBorder="1" applyAlignment="1">
      <alignment vertical="center"/>
    </xf>
    <xf numFmtId="0" fontId="16" fillId="23" borderId="7" xfId="0" applyFont="1" applyFill="1" applyBorder="1"/>
    <xf numFmtId="0" fontId="16" fillId="23" borderId="2" xfId="0" applyFont="1" applyFill="1" applyBorder="1"/>
    <xf numFmtId="0" fontId="42" fillId="23" borderId="0" xfId="2" applyFont="1" applyFill="1" applyAlignment="1">
      <alignment horizontal="center" vertical="center" wrapText="1"/>
    </xf>
    <xf numFmtId="0" fontId="13" fillId="23" borderId="0" xfId="0" applyFont="1" applyFill="1" applyAlignment="1">
      <alignment horizontal="center" vertical="center" wrapText="1"/>
    </xf>
    <xf numFmtId="0" fontId="55" fillId="23" borderId="0" xfId="0" applyFont="1" applyFill="1" applyAlignment="1">
      <alignment horizontal="center" vertical="center" wrapText="1"/>
    </xf>
    <xf numFmtId="0" fontId="26" fillId="3" borderId="1" xfId="0" applyFont="1" applyFill="1" applyBorder="1" applyAlignment="1">
      <alignment horizontal="center" wrapText="1"/>
    </xf>
    <xf numFmtId="0" fontId="25" fillId="3" borderId="6" xfId="0" applyFont="1" applyFill="1" applyBorder="1" applyAlignment="1">
      <alignment wrapText="1"/>
    </xf>
    <xf numFmtId="0" fontId="6" fillId="0" borderId="6" xfId="0" applyFont="1" applyBorder="1" applyAlignment="1">
      <alignment horizontal="center" vertical="center" wrapText="1"/>
    </xf>
    <xf numFmtId="0" fontId="27" fillId="0" borderId="7" xfId="0" applyFont="1" applyBorder="1" applyAlignment="1">
      <alignment horizontal="left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wrapText="1"/>
    </xf>
    <xf numFmtId="0" fontId="14" fillId="13" borderId="5" xfId="0" applyFont="1" applyFill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6" fillId="0" borderId="11" xfId="0" applyFont="1" applyBorder="1" applyAlignment="1">
      <alignment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24" xfId="0" applyFont="1" applyBorder="1" applyAlignment="1">
      <alignment vertical="center" wrapText="1"/>
    </xf>
    <xf numFmtId="0" fontId="6" fillId="0" borderId="9" xfId="0" applyFont="1" applyBorder="1" applyAlignment="1">
      <alignment horizontal="left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49" fillId="3" borderId="4" xfId="1" applyFont="1" applyFill="1" applyBorder="1"/>
    <xf numFmtId="0" fontId="56" fillId="3" borderId="4" xfId="2" applyFont="1" applyFill="1" applyBorder="1"/>
    <xf numFmtId="0" fontId="42" fillId="3" borderId="13" xfId="1" applyFill="1" applyBorder="1" applyAlignment="1">
      <alignment horizontal="center" vertical="center" wrapText="1"/>
    </xf>
    <xf numFmtId="0" fontId="13" fillId="0" borderId="1" xfId="0" applyFont="1" applyBorder="1"/>
    <xf numFmtId="0" fontId="6" fillId="0" borderId="3" xfId="0" applyFont="1" applyBorder="1"/>
    <xf numFmtId="0" fontId="6" fillId="3" borderId="3" xfId="0" applyFont="1" applyFill="1" applyBorder="1"/>
    <xf numFmtId="0" fontId="8" fillId="3" borderId="3" xfId="0" applyFont="1" applyFill="1" applyBorder="1"/>
    <xf numFmtId="0" fontId="58" fillId="3" borderId="1" xfId="0" applyFont="1" applyFill="1" applyBorder="1"/>
    <xf numFmtId="0" fontId="57" fillId="0" borderId="1" xfId="0" applyFont="1" applyBorder="1"/>
    <xf numFmtId="0" fontId="58" fillId="0" borderId="1" xfId="0" applyFont="1" applyBorder="1"/>
    <xf numFmtId="0" fontId="6" fillId="3" borderId="8" xfId="0" applyFont="1" applyFill="1" applyBorder="1" applyAlignment="1">
      <alignment horizontal="left"/>
    </xf>
    <xf numFmtId="0" fontId="6" fillId="3" borderId="9" xfId="0" applyFont="1" applyFill="1" applyBorder="1"/>
    <xf numFmtId="0" fontId="6" fillId="3" borderId="4" xfId="0" applyFont="1" applyFill="1" applyBorder="1"/>
    <xf numFmtId="0" fontId="8" fillId="3" borderId="4" xfId="0" applyFont="1" applyFill="1" applyBorder="1"/>
    <xf numFmtId="0" fontId="28" fillId="25" borderId="4" xfId="0" applyFont="1" applyFill="1" applyBorder="1" applyAlignment="1">
      <alignment horizontal="center"/>
    </xf>
    <xf numFmtId="0" fontId="28" fillId="25" borderId="4" xfId="0" applyFont="1" applyFill="1" applyBorder="1"/>
    <xf numFmtId="0" fontId="28" fillId="25" borderId="13" xfId="0" applyFont="1" applyFill="1" applyBorder="1"/>
    <xf numFmtId="0" fontId="52" fillId="26" borderId="1" xfId="2" applyFill="1" applyBorder="1" applyAlignment="1">
      <alignment horizontal="center"/>
    </xf>
    <xf numFmtId="0" fontId="7" fillId="27" borderId="1" xfId="0" applyFont="1" applyFill="1" applyBorder="1" applyAlignment="1">
      <alignment horizontal="center"/>
    </xf>
    <xf numFmtId="0" fontId="7" fillId="27" borderId="6" xfId="0" applyFont="1" applyFill="1" applyBorder="1" applyAlignment="1">
      <alignment horizontal="center"/>
    </xf>
    <xf numFmtId="0" fontId="52" fillId="3" borderId="1" xfId="2" applyFill="1" applyBorder="1" applyAlignment="1">
      <alignment horizontal="center"/>
    </xf>
    <xf numFmtId="0" fontId="42" fillId="3" borderId="1" xfId="2" applyFont="1" applyFill="1" applyBorder="1" applyAlignment="1">
      <alignment horizontal="center"/>
    </xf>
    <xf numFmtId="0" fontId="42" fillId="3" borderId="1" xfId="2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0" fontId="7" fillId="27" borderId="1" xfId="0" applyFont="1" applyFill="1" applyBorder="1" applyAlignment="1">
      <alignment horizontal="center" wrapText="1"/>
    </xf>
    <xf numFmtId="0" fontId="7" fillId="27" borderId="5" xfId="0" applyFont="1" applyFill="1" applyBorder="1" applyAlignment="1">
      <alignment horizontal="center"/>
    </xf>
    <xf numFmtId="0" fontId="7" fillId="27" borderId="3" xfId="0" applyFont="1" applyFill="1" applyBorder="1" applyAlignment="1">
      <alignment horizontal="center"/>
    </xf>
    <xf numFmtId="0" fontId="7" fillId="27" borderId="4" xfId="0" applyFont="1" applyFill="1" applyBorder="1" applyAlignment="1">
      <alignment horizontal="center"/>
    </xf>
    <xf numFmtId="0" fontId="42" fillId="0" borderId="0" xfId="2" applyFont="1" applyFill="1" applyAlignment="1">
      <alignment horizontal="center"/>
    </xf>
    <xf numFmtId="0" fontId="61" fillId="30" borderId="1" xfId="0" applyFont="1" applyFill="1" applyBorder="1" applyAlignment="1">
      <alignment horizontal="center"/>
    </xf>
    <xf numFmtId="0" fontId="62" fillId="30" borderId="1" xfId="0" applyFont="1" applyFill="1" applyBorder="1" applyAlignment="1">
      <alignment horizontal="center"/>
    </xf>
    <xf numFmtId="0" fontId="7" fillId="31" borderId="1" xfId="0" applyFont="1" applyFill="1" applyBorder="1"/>
    <xf numFmtId="0" fontId="0" fillId="31" borderId="0" xfId="0" applyFill="1"/>
    <xf numFmtId="0" fontId="23" fillId="27" borderId="1" xfId="0" applyFont="1" applyFill="1" applyBorder="1" applyAlignment="1">
      <alignment horizontal="center"/>
    </xf>
    <xf numFmtId="0" fontId="63" fillId="32" borderId="0" xfId="0" applyFont="1" applyFill="1" applyAlignment="1">
      <alignment horizontal="center"/>
    </xf>
    <xf numFmtId="0" fontId="49" fillId="33" borderId="4" xfId="1" applyFont="1" applyFill="1" applyBorder="1"/>
    <xf numFmtId="0" fontId="7" fillId="33" borderId="1" xfId="0" applyFont="1" applyFill="1" applyBorder="1" applyAlignment="1">
      <alignment horizontal="center"/>
    </xf>
    <xf numFmtId="0" fontId="22" fillId="33" borderId="1" xfId="0" applyFont="1" applyFill="1" applyBorder="1" applyAlignment="1">
      <alignment horizontal="center"/>
    </xf>
    <xf numFmtId="0" fontId="7" fillId="34" borderId="1" xfId="0" applyFont="1" applyFill="1" applyBorder="1"/>
    <xf numFmtId="0" fontId="42" fillId="3" borderId="3" xfId="2" applyFont="1" applyFill="1" applyBorder="1" applyAlignment="1">
      <alignment horizontal="center"/>
    </xf>
    <xf numFmtId="0" fontId="23" fillId="27" borderId="4" xfId="0" applyFont="1" applyFill="1" applyBorder="1" applyAlignment="1">
      <alignment horizontal="center"/>
    </xf>
    <xf numFmtId="0" fontId="42" fillId="3" borderId="4" xfId="2" applyFont="1" applyFill="1" applyBorder="1" applyAlignment="1">
      <alignment horizontal="center"/>
    </xf>
    <xf numFmtId="0" fontId="49" fillId="33" borderId="12" xfId="1" applyFont="1" applyFill="1" applyBorder="1"/>
    <xf numFmtId="0" fontId="4" fillId="34" borderId="50" xfId="0" applyFont="1" applyFill="1" applyBorder="1"/>
    <xf numFmtId="0" fontId="7" fillId="33" borderId="2" xfId="0" applyFont="1" applyFill="1" applyBorder="1" applyAlignment="1">
      <alignment horizontal="center"/>
    </xf>
    <xf numFmtId="0" fontId="50" fillId="33" borderId="12" xfId="1" applyFont="1" applyFill="1" applyBorder="1"/>
    <xf numFmtId="0" fontId="6" fillId="33" borderId="50" xfId="0" applyFont="1" applyFill="1" applyBorder="1"/>
    <xf numFmtId="0" fontId="52" fillId="26" borderId="1" xfId="2" applyFill="1" applyBorder="1" applyAlignment="1">
      <alignment horizontal="center" vertical="center"/>
    </xf>
    <xf numFmtId="0" fontId="6" fillId="33" borderId="2" xfId="0" applyFont="1" applyFill="1" applyBorder="1" applyAlignment="1">
      <alignment horizontal="center"/>
    </xf>
    <xf numFmtId="0" fontId="4" fillId="34" borderId="50" xfId="0" applyFont="1" applyFill="1" applyBorder="1" applyAlignment="1">
      <alignment horizontal="center"/>
    </xf>
    <xf numFmtId="0" fontId="52" fillId="3" borderId="2" xfId="2" applyFill="1" applyBorder="1" applyAlignment="1">
      <alignment horizontal="center"/>
    </xf>
    <xf numFmtId="0" fontId="52" fillId="0" borderId="2" xfId="2" applyBorder="1" applyAlignment="1">
      <alignment horizontal="center"/>
    </xf>
    <xf numFmtId="0" fontId="7" fillId="25" borderId="1" xfId="0" applyFont="1" applyFill="1" applyBorder="1"/>
    <xf numFmtId="0" fontId="42" fillId="20" borderId="1" xfId="2" applyFont="1" applyFill="1" applyBorder="1" applyAlignment="1">
      <alignment horizontal="center"/>
    </xf>
    <xf numFmtId="0" fontId="49" fillId="20" borderId="4" xfId="2" applyFont="1" applyFill="1" applyBorder="1"/>
    <xf numFmtId="0" fontId="0" fillId="36" borderId="52" xfId="0" applyFill="1" applyBorder="1"/>
    <xf numFmtId="0" fontId="65" fillId="35" borderId="53" xfId="0" applyFont="1" applyFill="1" applyBorder="1"/>
    <xf numFmtId="0" fontId="0" fillId="36" borderId="54" xfId="0" applyFill="1" applyBorder="1"/>
    <xf numFmtId="0" fontId="65" fillId="35" borderId="55" xfId="0" applyFont="1" applyFill="1" applyBorder="1"/>
    <xf numFmtId="0" fontId="0" fillId="36" borderId="56" xfId="0" applyFill="1" applyBorder="1"/>
    <xf numFmtId="14" fontId="0" fillId="36" borderId="54" xfId="0" applyNumberFormat="1" applyFill="1" applyBorder="1" applyAlignment="1">
      <alignment horizontal="left"/>
    </xf>
    <xf numFmtId="0" fontId="65" fillId="35" borderId="51" xfId="0" applyFont="1" applyFill="1" applyBorder="1"/>
    <xf numFmtId="0" fontId="6" fillId="25" borderId="4" xfId="0" applyFont="1" applyFill="1" applyBorder="1"/>
    <xf numFmtId="0" fontId="7" fillId="25" borderId="6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0" borderId="2" xfId="0" applyFont="1" applyBorder="1"/>
    <xf numFmtId="0" fontId="42" fillId="33" borderId="1" xfId="2" applyFont="1" applyFill="1" applyBorder="1" applyAlignment="1">
      <alignment horizontal="center"/>
    </xf>
    <xf numFmtId="0" fontId="42" fillId="0" borderId="13" xfId="2" applyFont="1" applyBorder="1" applyAlignment="1">
      <alignment horizontal="center" vertical="center" wrapText="1"/>
    </xf>
    <xf numFmtId="0" fontId="42" fillId="3" borderId="8" xfId="2" applyFont="1" applyFill="1" applyBorder="1" applyAlignment="1">
      <alignment horizontal="center" vertical="center"/>
    </xf>
    <xf numFmtId="0" fontId="42" fillId="3" borderId="10" xfId="2" applyFont="1" applyFill="1" applyBorder="1" applyAlignment="1">
      <alignment horizontal="center"/>
    </xf>
    <xf numFmtId="0" fontId="42" fillId="3" borderId="12" xfId="2" applyFont="1" applyFill="1" applyBorder="1" applyAlignment="1">
      <alignment horizontal="center"/>
    </xf>
    <xf numFmtId="0" fontId="42" fillId="3" borderId="8" xfId="2" applyFont="1" applyFill="1" applyBorder="1" applyAlignment="1">
      <alignment horizontal="center"/>
    </xf>
    <xf numFmtId="0" fontId="52" fillId="3" borderId="10" xfId="2" applyFill="1" applyBorder="1" applyAlignment="1">
      <alignment horizontal="center"/>
    </xf>
    <xf numFmtId="0" fontId="52" fillId="3" borderId="12" xfId="2" applyFill="1" applyBorder="1" applyAlignment="1">
      <alignment horizontal="center"/>
    </xf>
    <xf numFmtId="0" fontId="6" fillId="33" borderId="0" xfId="0" applyFont="1" applyFill="1" applyAlignment="1">
      <alignment horizontal="center"/>
    </xf>
    <xf numFmtId="0" fontId="52" fillId="3" borderId="8" xfId="2" applyFill="1" applyBorder="1" applyAlignment="1">
      <alignment horizontal="center"/>
    </xf>
    <xf numFmtId="0" fontId="52" fillId="26" borderId="10" xfId="2" applyFill="1" applyBorder="1" applyAlignment="1">
      <alignment horizontal="center"/>
    </xf>
    <xf numFmtId="0" fontId="62" fillId="30" borderId="10" xfId="0" applyFont="1" applyFill="1" applyBorder="1" applyAlignment="1">
      <alignment horizontal="center"/>
    </xf>
    <xf numFmtId="0" fontId="42" fillId="20" borderId="10" xfId="2" applyFont="1" applyFill="1" applyBorder="1" applyAlignment="1">
      <alignment horizontal="center"/>
    </xf>
    <xf numFmtId="0" fontId="22" fillId="33" borderId="10" xfId="0" applyFont="1" applyFill="1" applyBorder="1" applyAlignment="1">
      <alignment horizontal="center"/>
    </xf>
    <xf numFmtId="0" fontId="4" fillId="34" borderId="0" xfId="0" applyFont="1" applyFill="1" applyAlignment="1">
      <alignment horizontal="center"/>
    </xf>
    <xf numFmtId="0" fontId="22" fillId="33" borderId="8" xfId="0" applyFont="1" applyFill="1" applyBorder="1" applyAlignment="1">
      <alignment horizontal="center"/>
    </xf>
    <xf numFmtId="0" fontId="6" fillId="0" borderId="7" xfId="0" applyFont="1" applyBorder="1" applyAlignment="1">
      <alignment horizontal="center" vertical="center" wrapText="1"/>
    </xf>
    <xf numFmtId="0" fontId="67" fillId="0" borderId="60" xfId="0" applyFont="1" applyBorder="1" applyAlignment="1">
      <alignment horizontal="center" vertical="center" wrapText="1"/>
    </xf>
    <xf numFmtId="0" fontId="69" fillId="0" borderId="60" xfId="0" applyFont="1" applyBorder="1" applyAlignment="1">
      <alignment horizontal="center" vertical="center" wrapText="1"/>
    </xf>
    <xf numFmtId="0" fontId="69" fillId="0" borderId="59" xfId="0" applyFont="1" applyBorder="1" applyAlignment="1">
      <alignment horizontal="center" vertical="center" wrapText="1"/>
    </xf>
    <xf numFmtId="0" fontId="71" fillId="0" borderId="60" xfId="0" applyFont="1" applyBorder="1" applyAlignment="1">
      <alignment horizontal="center" vertical="center" wrapText="1"/>
    </xf>
    <xf numFmtId="0" fontId="67" fillId="0" borderId="59" xfId="0" applyFont="1" applyBorder="1" applyAlignment="1">
      <alignment horizontal="center" vertical="center" wrapText="1"/>
    </xf>
    <xf numFmtId="0" fontId="68" fillId="0" borderId="60" xfId="0" applyFont="1" applyBorder="1" applyAlignment="1">
      <alignment horizontal="center" vertical="center" wrapText="1"/>
    </xf>
    <xf numFmtId="0" fontId="70" fillId="0" borderId="59" xfId="0" applyFont="1" applyBorder="1" applyAlignment="1">
      <alignment horizontal="center" vertical="center" wrapText="1"/>
    </xf>
    <xf numFmtId="0" fontId="70" fillId="0" borderId="60" xfId="0" applyFont="1" applyBorder="1" applyAlignment="1">
      <alignment horizontal="center" vertical="center" wrapText="1"/>
    </xf>
    <xf numFmtId="0" fontId="72" fillId="0" borderId="60" xfId="0" applyFont="1" applyBorder="1" applyAlignment="1">
      <alignment horizontal="center" vertical="center" wrapText="1"/>
    </xf>
    <xf numFmtId="0" fontId="73" fillId="0" borderId="59" xfId="0" applyFont="1" applyBorder="1" applyAlignment="1">
      <alignment horizontal="center" vertical="center" wrapText="1"/>
    </xf>
    <xf numFmtId="0" fontId="73" fillId="0" borderId="60" xfId="0" applyFont="1" applyBorder="1" applyAlignment="1">
      <alignment horizontal="center" vertical="center" wrapText="1"/>
    </xf>
    <xf numFmtId="0" fontId="74" fillId="0" borderId="60" xfId="0" applyFont="1" applyBorder="1" applyAlignment="1">
      <alignment horizontal="center" vertical="center" wrapText="1"/>
    </xf>
    <xf numFmtId="0" fontId="28" fillId="3" borderId="13" xfId="0" applyFont="1" applyFill="1" applyBorder="1" applyAlignment="1">
      <alignment horizontal="center" wrapText="1"/>
    </xf>
    <xf numFmtId="0" fontId="6" fillId="3" borderId="5" xfId="0" applyFont="1" applyFill="1" applyBorder="1" applyAlignment="1">
      <alignment horizontal="left"/>
    </xf>
    <xf numFmtId="0" fontId="1" fillId="2" borderId="38" xfId="0" applyFont="1" applyFill="1" applyBorder="1" applyAlignment="1">
      <alignment horizontal="center" vertical="center"/>
    </xf>
    <xf numFmtId="0" fontId="0" fillId="0" borderId="38" xfId="0" applyBorder="1"/>
    <xf numFmtId="0" fontId="43" fillId="18" borderId="38" xfId="1" applyFont="1" applyFill="1" applyBorder="1" applyAlignment="1">
      <alignment horizontal="center" wrapText="1"/>
    </xf>
    <xf numFmtId="0" fontId="43" fillId="18" borderId="38" xfId="1" applyFont="1" applyFill="1" applyBorder="1" applyAlignment="1">
      <alignment wrapText="1"/>
    </xf>
    <xf numFmtId="0" fontId="7" fillId="5" borderId="0" xfId="0" applyFont="1" applyFill="1"/>
    <xf numFmtId="0" fontId="0" fillId="0" borderId="0" xfId="0"/>
    <xf numFmtId="0" fontId="66" fillId="37" borderId="58" xfId="0" applyFont="1" applyFill="1" applyBorder="1" applyAlignment="1">
      <alignment horizontal="center" vertical="center" wrapText="1"/>
    </xf>
    <xf numFmtId="0" fontId="66" fillId="37" borderId="59" xfId="0" applyFont="1" applyFill="1" applyBorder="1" applyAlignment="1">
      <alignment horizontal="center" vertical="center" wrapText="1"/>
    </xf>
    <xf numFmtId="0" fontId="43" fillId="19" borderId="45" xfId="1" applyFont="1" applyFill="1" applyBorder="1" applyAlignment="1">
      <alignment horizontal="center" vertical="center" wrapText="1"/>
    </xf>
    <xf numFmtId="0" fontId="43" fillId="18" borderId="45" xfId="1" applyFont="1" applyFill="1" applyBorder="1" applyAlignment="1">
      <alignment horizontal="center" wrapText="1"/>
    </xf>
    <xf numFmtId="0" fontId="43" fillId="18" borderId="45" xfId="1" applyFont="1" applyFill="1" applyBorder="1" applyAlignment="1">
      <alignment wrapText="1"/>
    </xf>
    <xf numFmtId="0" fontId="7" fillId="0" borderId="3" xfId="0" applyFont="1" applyBorder="1" applyAlignment="1">
      <alignment horizontal="center" vertical="center"/>
    </xf>
    <xf numFmtId="0" fontId="16" fillId="0" borderId="4" xfId="0" applyFont="1" applyBorder="1"/>
    <xf numFmtId="0" fontId="44" fillId="6" borderId="3" xfId="0" applyFont="1" applyFill="1" applyBorder="1" applyAlignment="1">
      <alignment horizontal="center" vertical="center" wrapText="1" indent="1"/>
    </xf>
    <xf numFmtId="0" fontId="45" fillId="0" borderId="5" xfId="0" applyFont="1" applyBorder="1" applyAlignment="1">
      <alignment horizontal="center" vertical="center" indent="1"/>
    </xf>
    <xf numFmtId="0" fontId="45" fillId="0" borderId="4" xfId="0" applyFont="1" applyBorder="1" applyAlignment="1">
      <alignment horizontal="center" vertical="center" indent="1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vertical="center"/>
    </xf>
    <xf numFmtId="0" fontId="7" fillId="6" borderId="6" xfId="0" applyFont="1" applyFill="1" applyBorder="1" applyAlignment="1">
      <alignment horizontal="center" vertical="center" wrapText="1"/>
    </xf>
    <xf numFmtId="0" fontId="16" fillId="0" borderId="7" xfId="0" applyFont="1" applyBorder="1"/>
    <xf numFmtId="0" fontId="16" fillId="0" borderId="2" xfId="0" applyFont="1" applyBorder="1"/>
    <xf numFmtId="0" fontId="7" fillId="10" borderId="6" xfId="0" applyFont="1" applyFill="1" applyBorder="1" applyAlignment="1">
      <alignment vertical="center"/>
    </xf>
    <xf numFmtId="0" fontId="7" fillId="25" borderId="0" xfId="0" applyFont="1" applyFill="1" applyAlignment="1">
      <alignment horizontal="center" vertical="center" wrapText="1"/>
    </xf>
    <xf numFmtId="0" fontId="16" fillId="25" borderId="0" xfId="0" applyFont="1" applyFill="1"/>
    <xf numFmtId="0" fontId="16" fillId="23" borderId="7" xfId="0" applyFont="1" applyFill="1" applyBorder="1" applyAlignment="1">
      <alignment horizontal="center"/>
    </xf>
    <xf numFmtId="0" fontId="7" fillId="0" borderId="8" xfId="0" applyFont="1" applyBorder="1"/>
    <xf numFmtId="0" fontId="7" fillId="0" borderId="14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0" xfId="0" applyFont="1"/>
    <xf numFmtId="0" fontId="7" fillId="0" borderId="11" xfId="0" applyFont="1" applyBorder="1"/>
    <xf numFmtId="0" fontId="7" fillId="0" borderId="12" xfId="0" applyFont="1" applyBorder="1"/>
    <xf numFmtId="0" fontId="7" fillId="0" borderId="15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2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2" xfId="0" applyFont="1" applyBorder="1"/>
    <xf numFmtId="0" fontId="4" fillId="0" borderId="13" xfId="0" applyFont="1" applyBorder="1"/>
    <xf numFmtId="0" fontId="60" fillId="29" borderId="0" xfId="0" applyFont="1" applyFill="1" applyAlignment="1">
      <alignment horizontal="center"/>
    </xf>
    <xf numFmtId="0" fontId="1" fillId="25" borderId="8" xfId="0" applyFont="1" applyFill="1" applyBorder="1"/>
    <xf numFmtId="0" fontId="1" fillId="25" borderId="9" xfId="0" applyFont="1" applyFill="1" applyBorder="1"/>
    <xf numFmtId="0" fontId="1" fillId="25" borderId="10" xfId="0" applyFont="1" applyFill="1" applyBorder="1"/>
    <xf numFmtId="0" fontId="1" fillId="25" borderId="11" xfId="0" applyFont="1" applyFill="1" applyBorder="1"/>
    <xf numFmtId="0" fontId="1" fillId="25" borderId="12" xfId="0" applyFont="1" applyFill="1" applyBorder="1"/>
    <xf numFmtId="0" fontId="1" fillId="25" borderId="13" xfId="0" applyFont="1" applyFill="1" applyBorder="1"/>
    <xf numFmtId="0" fontId="8" fillId="24" borderId="6" xfId="0" applyFont="1" applyFill="1" applyBorder="1" applyAlignment="1">
      <alignment horizontal="center"/>
    </xf>
    <xf numFmtId="0" fontId="8" fillId="24" borderId="7" xfId="0" applyFont="1" applyFill="1" applyBorder="1" applyAlignment="1">
      <alignment horizontal="center"/>
    </xf>
    <xf numFmtId="0" fontId="8" fillId="24" borderId="2" xfId="0" applyFont="1" applyFill="1" applyBorder="1" applyAlignment="1">
      <alignment horizontal="center"/>
    </xf>
    <xf numFmtId="0" fontId="2" fillId="24" borderId="0" xfId="0" applyFont="1" applyFill="1" applyAlignment="1">
      <alignment horizontal="center" vertical="center" wrapText="1"/>
    </xf>
    <xf numFmtId="0" fontId="0" fillId="23" borderId="0" xfId="0" applyFill="1" applyAlignment="1">
      <alignment wrapText="1"/>
    </xf>
    <xf numFmtId="0" fontId="15" fillId="2" borderId="18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 applyAlignment="1">
      <alignment wrapText="1"/>
    </xf>
    <xf numFmtId="0" fontId="15" fillId="11" borderId="30" xfId="0" applyFont="1" applyFill="1" applyBorder="1" applyAlignment="1">
      <alignment horizontal="center" vertical="center" wrapText="1"/>
    </xf>
    <xf numFmtId="0" fontId="16" fillId="0" borderId="30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14" fillId="12" borderId="19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16" fillId="0" borderId="15" xfId="0" applyFont="1" applyBorder="1" applyAlignment="1">
      <alignment wrapText="1"/>
    </xf>
    <xf numFmtId="0" fontId="16" fillId="0" borderId="33" xfId="0" applyFont="1" applyBorder="1" applyAlignment="1">
      <alignment wrapText="1"/>
    </xf>
    <xf numFmtId="0" fontId="6" fillId="0" borderId="57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16" fillId="0" borderId="36" xfId="0" applyFont="1" applyBorder="1" applyAlignment="1">
      <alignment wrapText="1"/>
    </xf>
    <xf numFmtId="0" fontId="16" fillId="0" borderId="37" xfId="0" applyFont="1" applyBorder="1" applyAlignment="1">
      <alignment wrapText="1"/>
    </xf>
    <xf numFmtId="0" fontId="14" fillId="13" borderId="15" xfId="0" applyFont="1" applyFill="1" applyBorder="1" applyAlignment="1">
      <alignment horizontal="center" vertical="center" wrapText="1"/>
    </xf>
    <xf numFmtId="0" fontId="53" fillId="24" borderId="0" xfId="0" applyFont="1" applyFill="1" applyAlignment="1">
      <alignment horizontal="left"/>
    </xf>
    <xf numFmtId="0" fontId="53" fillId="24" borderId="16" xfId="0" applyFont="1" applyFill="1" applyBorder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29" fillId="14" borderId="8" xfId="0" applyFont="1" applyFill="1" applyBorder="1" applyAlignment="1">
      <alignment horizontal="center" vertical="center"/>
    </xf>
    <xf numFmtId="0" fontId="16" fillId="0" borderId="14" xfId="0" applyFont="1" applyBorder="1"/>
    <xf numFmtId="0" fontId="16" fillId="0" borderId="9" xfId="0" applyFont="1" applyBorder="1"/>
    <xf numFmtId="0" fontId="16" fillId="0" borderId="12" xfId="0" applyFont="1" applyBorder="1"/>
    <xf numFmtId="0" fontId="16" fillId="0" borderId="15" xfId="0" applyFont="1" applyBorder="1"/>
    <xf numFmtId="0" fontId="16" fillId="0" borderId="13" xfId="0" applyFont="1" applyBorder="1"/>
    <xf numFmtId="0" fontId="29" fillId="15" borderId="8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6" fillId="0" borderId="11" xfId="0" applyFont="1" applyBorder="1"/>
    <xf numFmtId="0" fontId="8" fillId="3" borderId="3" xfId="0" applyFont="1" applyFill="1" applyBorder="1" applyAlignment="1">
      <alignment horizontal="center" vertical="center"/>
    </xf>
    <xf numFmtId="0" fontId="16" fillId="0" borderId="5" xfId="0" applyFont="1" applyBorder="1"/>
    <xf numFmtId="0" fontId="20" fillId="3" borderId="0" xfId="0" applyFont="1" applyFill="1" applyAlignment="1">
      <alignment horizontal="center" vertical="center"/>
    </xf>
    <xf numFmtId="0" fontId="28" fillId="3" borderId="5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3" borderId="0" xfId="0" applyFont="1" applyFill="1"/>
    <xf numFmtId="0" fontId="35" fillId="3" borderId="5" xfId="0" applyFont="1" applyFill="1" applyBorder="1" applyAlignment="1">
      <alignment horizontal="center" vertical="center"/>
    </xf>
    <xf numFmtId="0" fontId="20" fillId="16" borderId="6" xfId="0" applyFont="1" applyFill="1" applyBorder="1"/>
  </cellXfs>
  <cellStyles count="3">
    <cellStyle name="Hiperlink" xfId="2" builtinId="8"/>
    <cellStyle name="Hyperlink" xfId="1" xr:uid="{00000000-000B-0000-0000-000008000000}"/>
    <cellStyle name="Normal" xfId="0" builtinId="0"/>
  </cellStyles>
  <dxfs count="25">
    <dxf>
      <font>
        <color theme="1" tint="4.9989318521683403E-2"/>
      </font>
      <fill>
        <patternFill patternType="solid">
          <bgColor theme="5" tint="0.79998168889431442"/>
        </patternFill>
      </fill>
    </dxf>
    <dxf>
      <font>
        <color theme="1"/>
      </font>
      <fill>
        <patternFill patternType="solid">
          <bgColor theme="6" tint="0.59999389629810485"/>
        </patternFill>
      </fill>
    </dxf>
    <dxf>
      <font>
        <color theme="1"/>
      </font>
      <fill>
        <patternFill patternType="solid">
          <bgColor theme="7" tint="0.79998168889431442"/>
        </patternFill>
      </fill>
    </dxf>
    <dxf>
      <font>
        <color theme="1" tint="4.9989318521683403E-2"/>
      </font>
      <fill>
        <patternFill patternType="solid">
          <bgColor theme="5" tint="0.79998168889431442"/>
        </patternFill>
      </fill>
    </dxf>
    <dxf>
      <font>
        <color theme="1"/>
      </font>
      <fill>
        <patternFill patternType="solid">
          <bgColor theme="6" tint="0.59999389629810485"/>
        </patternFill>
      </fill>
    </dxf>
    <dxf>
      <font>
        <color theme="1"/>
      </font>
      <fill>
        <patternFill patternType="solid">
          <bgColor theme="7" tint="0.79998168889431442"/>
        </patternFill>
      </fill>
    </dxf>
    <dxf>
      <font>
        <color theme="1" tint="4.9989318521683403E-2"/>
      </font>
      <fill>
        <patternFill patternType="solid">
          <bgColor theme="5" tint="0.79998168889431442"/>
        </patternFill>
      </fill>
    </dxf>
    <dxf>
      <font>
        <color theme="1"/>
      </font>
      <fill>
        <patternFill patternType="solid">
          <bgColor theme="6" tint="0.59999389629810485"/>
        </patternFill>
      </fill>
    </dxf>
    <dxf>
      <font>
        <color theme="1"/>
      </font>
      <fill>
        <patternFill patternType="solid">
          <bgColor theme="7" tint="0.79998168889431442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 patternType="solid">
          <bgColor theme="5" tint="0.79998168889431442"/>
        </patternFill>
      </fill>
    </dxf>
    <dxf>
      <font>
        <color theme="1"/>
      </font>
      <fill>
        <patternFill patternType="solid">
          <bgColor theme="6" tint="0.59999389629810485"/>
        </patternFill>
      </fill>
    </dxf>
    <dxf>
      <font>
        <color theme="1"/>
      </font>
      <fill>
        <patternFill patternType="solid"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E04DA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'Dados de Rede'!A1"/><Relationship Id="rId18" Type="http://schemas.openxmlformats.org/officeDocument/2006/relationships/image" Target="../media/image9.png"/><Relationship Id="rId3" Type="http://schemas.openxmlformats.org/officeDocument/2006/relationships/hyperlink" Target="https://cloudprodamazhotmail-my.sharepoint.com/:f:/r/personal/brunosantos_prefeitura_sp_gov_br/Documents/CSMB/CSMB-STI/Anota%C3%A7%C3%B5es%20Diversas?csf=1&amp;web=1&amp;e=oyleQs" TargetMode="External"/><Relationship Id="rId21" Type="http://schemas.openxmlformats.org/officeDocument/2006/relationships/hyperlink" Target="https://cloudprodamazhotmail-my.sharepoint.com/:f:/r/personal/brunosantos_prefeitura_sp_gov_br/Documents/CSMB/CSMB-STI/Anota%C3%A7%C3%B5es%20Diversas/Fluxogramas?csf=1&amp;web=1&amp;e=9a2ZZr" TargetMode="External"/><Relationship Id="rId7" Type="http://schemas.openxmlformats.org/officeDocument/2006/relationships/hyperlink" Target="#Logistica!A1"/><Relationship Id="rId12" Type="http://schemas.openxmlformats.org/officeDocument/2006/relationships/image" Target="../media/image6.png"/><Relationship Id="rId17" Type="http://schemas.openxmlformats.org/officeDocument/2006/relationships/hyperlink" Target="#Invent&#225;rio!A1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https://cloudprodamazhotmail-my.sharepoint.com/:f:/r/personal/brunosantos_prefeitura_sp_gov_br/Documents/CSMB/CSMB-STI/Anota%C3%A7%C3%B5es%20Diversas/Memorandos?csf=1&amp;web=1&amp;e=HGCz8g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cloudprodamazhotmail-my.sharepoint.com/personal/brunosantos_prefeitura_sp_gov_br/Documents/CSMB/CSMB-STI/Baixa" TargetMode="External"/><Relationship Id="rId5" Type="http://schemas.openxmlformats.org/officeDocument/2006/relationships/hyperlink" Target="#'Canais de Atendimento'!A1"/><Relationship Id="rId15" Type="http://schemas.openxmlformats.org/officeDocument/2006/relationships/hyperlink" Target="https://cloudprodamazhotmail-my.sharepoint.com/:x:/r/personal/brunosantos_prefeitura_sp_gov_br/Documents/CSMB/CSMB-STI/Metodologias/Planilha%20RACI.xlsx?d=w2dad14fc4db44286a7f9bc3f47e6ac5c&amp;csf=1&amp;web=1&amp;e=JwLhbU" TargetMode="External"/><Relationship Id="rId23" Type="http://schemas.openxmlformats.org/officeDocument/2006/relationships/image" Target="../media/image12.png"/><Relationship Id="rId10" Type="http://schemas.openxmlformats.org/officeDocument/2006/relationships/image" Target="../media/image5.png"/><Relationship Id="rId19" Type="http://schemas.openxmlformats.org/officeDocument/2006/relationships/hyperlink" Target="https://cloudprodamazhotmail-my.sharepoint.com/personal/brunosantos_prefeitura_sp_gov_br/Documents/CSMB/CSMB-STI/Plantas%20Bibliotecas" TargetMode="External"/><Relationship Id="rId4" Type="http://schemas.openxmlformats.org/officeDocument/2006/relationships/image" Target="../media/image2.png"/><Relationship Id="rId9" Type="http://schemas.openxmlformats.org/officeDocument/2006/relationships/hyperlink" Target="#Impressoras!A1"/><Relationship Id="rId14" Type="http://schemas.openxmlformats.org/officeDocument/2006/relationships/image" Target="../media/image7.png"/><Relationship Id="rId22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Ger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cloudprodamazhotmail-my.sharepoint.com/personal/brunosantos_prefeitura_sp_gov_br/Documents/CSMB/CSMB-STI/Invent&#225;rio/Lista%20de%20IPs/Lista%20de%20IPs.xlsx" TargetMode="External"/><Relationship Id="rId2" Type="http://schemas.openxmlformats.org/officeDocument/2006/relationships/image" Target="../media/image13.png"/><Relationship Id="rId1" Type="http://schemas.openxmlformats.org/officeDocument/2006/relationships/hyperlink" Target="#Geral!A1"/><Relationship Id="rId4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Ger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hyperlink" Target="#Geral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3.png"/><Relationship Id="rId1" Type="http://schemas.openxmlformats.org/officeDocument/2006/relationships/hyperlink" Target="#Geral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cloudprodamazhotmail-my.sharepoint.com/:x:/r/personal/brunosantos_prefeitura_sp_gov_br/_layouts/15/Doc.aspx?sourcedoc=%7B6BB0059E-5C8C-42AB-A862-523CBA76DD6E%7D&amp;file=Oculos%20Orcam.xlsx&amp;action=default&amp;mobileredirect=true" TargetMode="External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hyperlink" Target="#Geral!A1"/><Relationship Id="rId6" Type="http://schemas.openxmlformats.org/officeDocument/2006/relationships/hyperlink" Target="https://cloudprodamazhotmail-my.sharepoint.com/:x:/r/personal/brunosantos_prefeitura_sp_gov_br/Documents/CSMB/CSMB-STI/Invent%C3%A1rio/Bens%20Fisico/Bens%20Fisico_2023.xlsm?d=wf282644676514295ac7b9e08fd3c9bf6&amp;csf=1&amp;web=1&amp;e=ZWQ0BB" TargetMode="Externa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447114</xdr:colOff>
      <xdr:row>1</xdr:row>
      <xdr:rowOff>142875</xdr:rowOff>
    </xdr:from>
    <xdr:to>
      <xdr:col>6</xdr:col>
      <xdr:colOff>1151964</xdr:colOff>
      <xdr:row>1</xdr:row>
      <xdr:rowOff>847725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  <a:ext uri="{147F2762-F138-4A5C-976F-8EAC2B608ADB}">
              <a16:predDERef xmlns:a16="http://schemas.microsoft.com/office/drawing/2014/main" pred="{3D053F6F-44E5-942E-9782-2D4CD5C1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56408" y="557493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11</xdr:col>
      <xdr:colOff>508906</xdr:colOff>
      <xdr:row>1</xdr:row>
      <xdr:rowOff>95250</xdr:rowOff>
    </xdr:from>
    <xdr:to>
      <xdr:col>11</xdr:col>
      <xdr:colOff>1375681</xdr:colOff>
      <xdr:row>1</xdr:row>
      <xdr:rowOff>828675</xdr:rowOff>
    </xdr:to>
    <xdr:pic>
      <xdr:nvPicPr>
        <xdr:cNvPr id="2" name="Imagem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435081" y="514350"/>
          <a:ext cx="866775" cy="733425"/>
        </a:xfrm>
        <a:prstGeom prst="rect">
          <a:avLst/>
        </a:prstGeom>
      </xdr:spPr>
    </xdr:pic>
    <xdr:clientData/>
  </xdr:twoCellAnchor>
  <xdr:twoCellAnchor editAs="oneCell">
    <xdr:from>
      <xdr:col>3</xdr:col>
      <xdr:colOff>1247775</xdr:colOff>
      <xdr:row>1</xdr:row>
      <xdr:rowOff>171450</xdr:rowOff>
    </xdr:from>
    <xdr:to>
      <xdr:col>3</xdr:col>
      <xdr:colOff>1952625</xdr:colOff>
      <xdr:row>1</xdr:row>
      <xdr:rowOff>876300</xdr:rowOff>
    </xdr:to>
    <xdr:pic>
      <xdr:nvPicPr>
        <xdr:cNvPr id="4" name="Imagem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4000000}"/>
            </a:ext>
            <a:ext uri="{147F2762-F138-4A5C-976F-8EAC2B608ADB}">
              <a16:predDERef xmlns:a16="http://schemas.microsoft.com/office/drawing/2014/main" pred="{B0BEA429-6E29-DB79-EC7B-416DDF76D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0" y="590550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4</xdr:col>
      <xdr:colOff>981075</xdr:colOff>
      <xdr:row>1</xdr:row>
      <xdr:rowOff>47625</xdr:rowOff>
    </xdr:from>
    <xdr:to>
      <xdr:col>4</xdr:col>
      <xdr:colOff>1704975</xdr:colOff>
      <xdr:row>1</xdr:row>
      <xdr:rowOff>771525</xdr:rowOff>
    </xdr:to>
    <xdr:pic>
      <xdr:nvPicPr>
        <xdr:cNvPr id="5" name="Imagem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5000000}"/>
            </a:ext>
            <a:ext uri="{147F2762-F138-4A5C-976F-8EAC2B608ADB}">
              <a16:predDERef xmlns:a16="http://schemas.microsoft.com/office/drawing/2014/main" pred="{E67450F0-F262-7F4D-BFC5-C6BE5FB05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96400" y="466725"/>
          <a:ext cx="723900" cy="723900"/>
        </a:xfrm>
        <a:prstGeom prst="rect">
          <a:avLst/>
        </a:prstGeom>
      </xdr:spPr>
    </xdr:pic>
    <xdr:clientData/>
  </xdr:twoCellAnchor>
  <xdr:twoCellAnchor editAs="oneCell">
    <xdr:from>
      <xdr:col>10</xdr:col>
      <xdr:colOff>933450</xdr:colOff>
      <xdr:row>1</xdr:row>
      <xdr:rowOff>142875</xdr:rowOff>
    </xdr:from>
    <xdr:to>
      <xdr:col>10</xdr:col>
      <xdr:colOff>1638300</xdr:colOff>
      <xdr:row>1</xdr:row>
      <xdr:rowOff>847725</xdr:rowOff>
    </xdr:to>
    <xdr:pic>
      <xdr:nvPicPr>
        <xdr:cNvPr id="9" name="Imagem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9000000}"/>
            </a:ext>
            <a:ext uri="{147F2762-F138-4A5C-976F-8EAC2B608ADB}">
              <a16:predDERef xmlns:a16="http://schemas.microsoft.com/office/drawing/2014/main" pred="{02F83ED2-14C6-565C-5FAF-E34FFAB1D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354550" y="561975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7</xdr:col>
      <xdr:colOff>704850</xdr:colOff>
      <xdr:row>1</xdr:row>
      <xdr:rowOff>95250</xdr:rowOff>
    </xdr:from>
    <xdr:to>
      <xdr:col>7</xdr:col>
      <xdr:colOff>1419225</xdr:colOff>
      <xdr:row>1</xdr:row>
      <xdr:rowOff>809625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8000000}"/>
            </a:ext>
            <a:ext uri="{147F2762-F138-4A5C-976F-8EAC2B608ADB}">
              <a16:predDERef xmlns:a16="http://schemas.microsoft.com/office/drawing/2014/main" pred="{17694D14-DB3D-5BDE-A93F-7CC6CA526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535150" y="514350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1</xdr:row>
      <xdr:rowOff>142875</xdr:rowOff>
    </xdr:from>
    <xdr:to>
      <xdr:col>9</xdr:col>
      <xdr:colOff>276225</xdr:colOff>
      <xdr:row>1</xdr:row>
      <xdr:rowOff>838200</xdr:rowOff>
    </xdr:to>
    <xdr:pic>
      <xdr:nvPicPr>
        <xdr:cNvPr id="10" name="Imagem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0A000000}"/>
            </a:ext>
            <a:ext uri="{147F2762-F138-4A5C-976F-8EAC2B608ADB}">
              <a16:predDERef xmlns:a16="http://schemas.microsoft.com/office/drawing/2014/main" pred="{ED64EC14-CEFF-A2C3-A932-50DB930D6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154400" y="56197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</xdr:row>
      <xdr:rowOff>19050</xdr:rowOff>
    </xdr:from>
    <xdr:to>
      <xdr:col>2</xdr:col>
      <xdr:colOff>1085850</xdr:colOff>
      <xdr:row>1</xdr:row>
      <xdr:rowOff>914400</xdr:rowOff>
    </xdr:to>
    <xdr:pic>
      <xdr:nvPicPr>
        <xdr:cNvPr id="11" name="Imagem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0B000000}"/>
            </a:ext>
            <a:ext uri="{147F2762-F138-4A5C-976F-8EAC2B608ADB}">
              <a16:predDERef xmlns:a16="http://schemas.microsoft.com/office/drawing/2014/main" pred="{B81BE423-654A-81F4-35AC-E2DAFA6D4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71950" y="438150"/>
          <a:ext cx="895350" cy="895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</xdr:row>
          <xdr:rowOff>123825</xdr:rowOff>
        </xdr:from>
        <xdr:to>
          <xdr:col>0</xdr:col>
          <xdr:colOff>1419225</xdr:colOff>
          <xdr:row>1</xdr:row>
          <xdr:rowOff>885825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542925</xdr:colOff>
      <xdr:row>1</xdr:row>
      <xdr:rowOff>104775</xdr:rowOff>
    </xdr:from>
    <xdr:to>
      <xdr:col>1</xdr:col>
      <xdr:colOff>1343025</xdr:colOff>
      <xdr:row>1</xdr:row>
      <xdr:rowOff>904875</xdr:rowOff>
    </xdr:to>
    <xdr:pic>
      <xdr:nvPicPr>
        <xdr:cNvPr id="14" name="Imagem 1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E000000}"/>
            </a:ext>
            <a:ext uri="{147F2762-F138-4A5C-976F-8EAC2B608ADB}">
              <a16:predDERef xmlns:a16="http://schemas.microsoft.com/office/drawing/2014/main" pred="{0B3B7060-D4BB-65F5-F368-92036E753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57425" y="523875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152400</xdr:colOff>
      <xdr:row>1</xdr:row>
      <xdr:rowOff>76200</xdr:rowOff>
    </xdr:from>
    <xdr:to>
      <xdr:col>12</xdr:col>
      <xdr:colOff>981075</xdr:colOff>
      <xdr:row>1</xdr:row>
      <xdr:rowOff>904875</xdr:rowOff>
    </xdr:to>
    <xdr:pic>
      <xdr:nvPicPr>
        <xdr:cNvPr id="3" name="Imagem 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03000000}"/>
            </a:ext>
            <a:ext uri="{147F2762-F138-4A5C-976F-8EAC2B608ADB}">
              <a16:predDERef xmlns:a16="http://schemas.microsoft.com/office/drawing/2014/main" pred="{FB46D27B-C9B7-DC6F-87D1-B50DADABB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812125" y="495300"/>
          <a:ext cx="828675" cy="828675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</xdr:row>
      <xdr:rowOff>47625</xdr:rowOff>
    </xdr:from>
    <xdr:to>
      <xdr:col>13</xdr:col>
      <xdr:colOff>1076325</xdr:colOff>
      <xdr:row>2</xdr:row>
      <xdr:rowOff>0</xdr:rowOff>
    </xdr:to>
    <xdr:pic>
      <xdr:nvPicPr>
        <xdr:cNvPr id="13" name="Imagem 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0D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926550" y="466725"/>
          <a:ext cx="923925" cy="923925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</xdr:row>
      <xdr:rowOff>66675</xdr:rowOff>
    </xdr:from>
    <xdr:to>
      <xdr:col>5</xdr:col>
      <xdr:colOff>847725</xdr:colOff>
      <xdr:row>1</xdr:row>
      <xdr:rowOff>838200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  <a:ext uri="{147F2762-F138-4A5C-976F-8EAC2B608ADB}">
              <a16:predDERef xmlns:a16="http://schemas.microsoft.com/office/drawing/2014/main" pred="{1BB5F921-CF93-65F6-7A94-F5163B528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639425" y="485775"/>
          <a:ext cx="771525" cy="771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0</xdr:row>
          <xdr:rowOff>152400</xdr:rowOff>
        </xdr:from>
        <xdr:to>
          <xdr:col>1</xdr:col>
          <xdr:colOff>1857375</xdr:colOff>
          <xdr:row>0</xdr:row>
          <xdr:rowOff>914400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457200</xdr:colOff>
      <xdr:row>0</xdr:row>
      <xdr:rowOff>76200</xdr:rowOff>
    </xdr:from>
    <xdr:to>
      <xdr:col>4</xdr:col>
      <xdr:colOff>1410724</xdr:colOff>
      <xdr:row>0</xdr:row>
      <xdr:rowOff>981076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43950" y="76200"/>
          <a:ext cx="953524" cy="904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2581274</xdr:colOff>
      <xdr:row>0</xdr:row>
      <xdr:rowOff>104775</xdr:rowOff>
    </xdr:from>
    <xdr:to>
      <xdr:col>7</xdr:col>
      <xdr:colOff>619124</xdr:colOff>
      <xdr:row>0</xdr:row>
      <xdr:rowOff>1095375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05399" y="104775"/>
          <a:ext cx="981075" cy="990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9525</xdr:colOff>
      <xdr:row>1</xdr:row>
      <xdr:rowOff>19050</xdr:rowOff>
    </xdr:to>
    <xdr:pic>
      <xdr:nvPicPr>
        <xdr:cNvPr id="7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7000000}"/>
            </a:ext>
            <a:ext uri="{147F2762-F138-4A5C-976F-8EAC2B608ADB}">
              <a16:predDERef xmlns:a16="http://schemas.microsoft.com/office/drawing/2014/main" pre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304925" cy="11906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2628899</xdr:colOff>
      <xdr:row>0</xdr:row>
      <xdr:rowOff>38100</xdr:rowOff>
    </xdr:from>
    <xdr:to>
      <xdr:col>3</xdr:col>
      <xdr:colOff>2628899</xdr:colOff>
      <xdr:row>11</xdr:row>
      <xdr:rowOff>76201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49" y="38100"/>
          <a:ext cx="0" cy="1762126"/>
        </a:xfrm>
        <a:prstGeom prst="rect">
          <a:avLst/>
        </a:prstGeom>
      </xdr:spPr>
    </xdr:pic>
    <xdr:clientData/>
  </xdr:twoCellAnchor>
  <xdr:twoCellAnchor editAs="oneCell">
    <xdr:from>
      <xdr:col>3</xdr:col>
      <xdr:colOff>2314575</xdr:colOff>
      <xdr:row>0</xdr:row>
      <xdr:rowOff>0</xdr:rowOff>
    </xdr:from>
    <xdr:to>
      <xdr:col>4</xdr:col>
      <xdr:colOff>47626</xdr:colOff>
      <xdr:row>0</xdr:row>
      <xdr:rowOff>952500</xdr:rowOff>
    </xdr:to>
    <xdr:pic>
      <xdr:nvPicPr>
        <xdr:cNvPr id="6" name="Imagem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72025" y="0"/>
          <a:ext cx="952501" cy="952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0</xdr:row>
      <xdr:rowOff>104775</xdr:rowOff>
    </xdr:from>
    <xdr:to>
      <xdr:col>3</xdr:col>
      <xdr:colOff>1028700</xdr:colOff>
      <xdr:row>0</xdr:row>
      <xdr:rowOff>1019175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34325" y="104775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314325</xdr:colOff>
      <xdr:row>0</xdr:row>
      <xdr:rowOff>19050</xdr:rowOff>
    </xdr:from>
    <xdr:to>
      <xdr:col>16</xdr:col>
      <xdr:colOff>1247775</xdr:colOff>
      <xdr:row>0</xdr:row>
      <xdr:rowOff>952500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81650" y="19050"/>
          <a:ext cx="933450" cy="933450"/>
        </a:xfrm>
        <a:prstGeom prst="rect">
          <a:avLst/>
        </a:prstGeom>
      </xdr:spPr>
    </xdr:pic>
    <xdr:clientData/>
  </xdr:twoCellAnchor>
  <xdr:twoCellAnchor editAs="oneCell">
    <xdr:from>
      <xdr:col>14</xdr:col>
      <xdr:colOff>314325</xdr:colOff>
      <xdr:row>0</xdr:row>
      <xdr:rowOff>142875</xdr:rowOff>
    </xdr:from>
    <xdr:to>
      <xdr:col>14</xdr:col>
      <xdr:colOff>1609725</xdr:colOff>
      <xdr:row>0</xdr:row>
      <xdr:rowOff>800100</xdr:rowOff>
    </xdr:to>
    <xdr:pic>
      <xdr:nvPicPr>
        <xdr:cNvPr id="3" name="Imagem 2" title="Rotas para Logistica">
          <a:extLst>
            <a:ext uri="{FF2B5EF4-FFF2-40B4-BE49-F238E27FC236}">
              <a16:creationId xmlns:a16="http://schemas.microsoft.com/office/drawing/2014/main" id="{00000000-0008-0000-0800-000003000000}"/>
            </a:ext>
            <a:ext uri="{147F2762-F138-4A5C-976F-8EAC2B608ADB}">
              <a16:predDERef xmlns:a16="http://schemas.microsoft.com/office/drawing/2014/main" pre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4325" y="142875"/>
          <a:ext cx="1295400" cy="6572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609600</xdr:colOff>
      <xdr:row>0</xdr:row>
      <xdr:rowOff>28575</xdr:rowOff>
    </xdr:from>
    <xdr:to>
      <xdr:col>7</xdr:col>
      <xdr:colOff>381000</xdr:colOff>
      <xdr:row>0</xdr:row>
      <xdr:rowOff>1095375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86725" y="28575"/>
          <a:ext cx="1066800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0</xdr:rowOff>
    </xdr:from>
    <xdr:to>
      <xdr:col>0</xdr:col>
      <xdr:colOff>914400</xdr:colOff>
      <xdr:row>0</xdr:row>
      <xdr:rowOff>781050</xdr:rowOff>
    </xdr:to>
    <xdr:pic>
      <xdr:nvPicPr>
        <xdr:cNvPr id="3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3000000}"/>
            </a:ext>
            <a:ext uri="{147F2762-F138-4A5C-976F-8EAC2B608ADB}">
              <a16:predDERef xmlns:a16="http://schemas.microsoft.com/office/drawing/2014/main" pre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0"/>
          <a:ext cx="781050" cy="78105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0</xdr:row>
      <xdr:rowOff>123825</xdr:rowOff>
    </xdr:from>
    <xdr:to>
      <xdr:col>1</xdr:col>
      <xdr:colOff>1495425</xdr:colOff>
      <xdr:row>0</xdr:row>
      <xdr:rowOff>819150</xdr:rowOff>
    </xdr:to>
    <xdr:pic>
      <xdr:nvPicPr>
        <xdr:cNvPr id="10" name="Imagem 3">
          <a:extLst>
            <a:ext uri="{FF2B5EF4-FFF2-40B4-BE49-F238E27FC236}">
              <a16:creationId xmlns:a16="http://schemas.microsoft.com/office/drawing/2014/main" id="{00000000-0008-0000-0900-00000A000000}"/>
            </a:ext>
            <a:ext uri="{147F2762-F138-4A5C-976F-8EAC2B608ADB}">
              <a16:predDERef xmlns:a16="http://schemas.microsoft.com/office/drawing/2014/main" pre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2575" y="123825"/>
          <a:ext cx="923925" cy="6953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123825</xdr:rowOff>
    </xdr:from>
    <xdr:to>
      <xdr:col>2</xdr:col>
      <xdr:colOff>962025</xdr:colOff>
      <xdr:row>0</xdr:row>
      <xdr:rowOff>790575</xdr:rowOff>
    </xdr:to>
    <xdr:pic>
      <xdr:nvPicPr>
        <xdr:cNvPr id="13" name="Imagem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D000000}"/>
            </a:ext>
            <a:ext uri="{147F2762-F138-4A5C-976F-8EAC2B608ADB}">
              <a16:predDERef xmlns:a16="http://schemas.microsoft.com/office/drawing/2014/main" pre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67050" y="123825"/>
          <a:ext cx="914400" cy="6667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son Santos de Jesus" id="{62E452AB-BCDE-4CDB-8B27-160C34F21B57}" userId="S::wsjesus@prefeitura.sp.gov.br::b18965bf-e662-4213-ad4e-d6e9a7f37826" providerId="AD"/>
  <person displayName="Bruno Silva dos Santos" id="{2A854CF7-9C5C-4D69-94A7-BBF42A10F1F5}" userId="S::brunosantos@prefeitura.sp.gov.br::62fe3f58-416b-4df8-a41d-2aadbbd4ced8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00000000-0016-0000-0000-000000000000}" autoFormatId="16" applyNumberFormats="0" applyBorderFormats="0" applyFontFormats="0" applyPatternFormats="0" applyAlignmentFormats="0" applyWidthHeightFormats="0">
  <queryTableRefresh nextId="19">
    <queryTableFields count="1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200-000001000000}" autoFormatId="16" applyNumberFormats="0" applyBorderFormats="0" applyFontFormats="0" applyPatternFormats="0" applyAlignmentFormats="0" applyWidthHeightFormats="0">
  <queryTableRefresh nextId="25" unboundColumnsRight="1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dataBound="0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69751E-49C9-43B5-A248-81F118B05A3C}" name="Estrutura" displayName="Estrutura" ref="A1:R1001" tableType="queryTable" totalsRowShown="0">
  <autoFilter ref="A1:R1001" xr:uid="{9069751E-49C9-43B5-A248-81F118B05A3C}"/>
  <tableColumns count="18">
    <tableColumn id="1" xr3:uid="{ED50E5DF-B443-4172-B5E3-70DD1A575B47}" uniqueName="1" name="Column1" queryTableFieldId="1"/>
    <tableColumn id="2" xr3:uid="{1AFA07E6-9455-4E3F-B7C0-9875E33BBFBE}" uniqueName="2" name="Column2" queryTableFieldId="2"/>
    <tableColumn id="3" xr3:uid="{A093403B-E19D-40AE-9DDA-8AE4895D5E1D}" uniqueName="3" name="Column3" queryTableFieldId="3" dataDxfId="24"/>
    <tableColumn id="4" xr3:uid="{0F14C4CC-4372-4670-804F-470B82407843}" uniqueName="4" name="Column4" queryTableFieldId="4" dataDxfId="23"/>
    <tableColumn id="5" xr3:uid="{DD232369-6E40-4910-AA87-F87CD6AA7AE7}" uniqueName="5" name="Column5" queryTableFieldId="5"/>
    <tableColumn id="6" xr3:uid="{EACEAA56-DA25-4993-9B6D-69BD306EFB18}" uniqueName="6" name="Column6" queryTableFieldId="6"/>
    <tableColumn id="7" xr3:uid="{69D38A90-BFF5-459C-9F12-578452FC0C48}" uniqueName="7" name="Column7" queryTableFieldId="7"/>
    <tableColumn id="8" xr3:uid="{612CFCD5-3133-4D6C-91D9-93F9267C9FFB}" uniqueName="8" name="Column8" queryTableFieldId="8"/>
    <tableColumn id="9" xr3:uid="{60CF6FB7-C75E-4465-A3B1-F7C1229E3958}" uniqueName="9" name="Column9" queryTableFieldId="9"/>
    <tableColumn id="10" xr3:uid="{454CD6CC-1A85-4989-8967-F41758A010BD}" uniqueName="10" name="Column10" queryTableFieldId="10"/>
    <tableColumn id="11" xr3:uid="{C352BA2A-DF27-4E8B-A3D2-22818B3FF5F0}" uniqueName="11" name="Column11" queryTableFieldId="11"/>
    <tableColumn id="12" xr3:uid="{2B1D239C-2093-4FB3-BD7F-8DF1B8023AB4}" uniqueName="12" name="Column12" queryTableFieldId="12"/>
    <tableColumn id="13" xr3:uid="{AE0E0859-EB6A-44FF-A06D-DC4B04161818}" uniqueName="13" name="Column13" queryTableFieldId="13" dataDxfId="22"/>
    <tableColumn id="14" xr3:uid="{C8BC1DA2-C340-4583-97BE-2D63C4F4E912}" uniqueName="14" name="Column14" queryTableFieldId="14"/>
    <tableColumn id="15" xr3:uid="{1E72CE67-8EF3-4910-8BDF-BD5BD3E65527}" uniqueName="15" name="Column15" queryTableFieldId="15"/>
    <tableColumn id="16" xr3:uid="{FC7F929D-341B-45E3-9FB0-0FF2F3DCA14F}" uniqueName="16" name="Column16" queryTableFieldId="16"/>
    <tableColumn id="17" xr3:uid="{CFCDF3F1-1EEF-4A52-9428-2399A51DD2DC}" uniqueName="17" name="Column17" queryTableFieldId="17"/>
    <tableColumn id="18" xr3:uid="{AAD253E2-BFE3-47BD-B496-E13F5820F217}" uniqueName="18" name="Column18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7CD221-57A5-47A2-BB72-0932FDE3FA81}" name="Biblioteca" displayName="Biblioteca" ref="A1:X1001" tableType="queryTable" totalsRowShown="0">
  <autoFilter ref="A1:X1001" xr:uid="{927CD221-57A5-47A2-BB72-0932FDE3FA81}"/>
  <tableColumns count="24">
    <tableColumn id="1" xr3:uid="{59BAFAF4-AB99-44CB-95F2-2B7E79A2AF1B}" uniqueName="1" name="Column1" queryTableFieldId="1" dataDxfId="17"/>
    <tableColumn id="2" xr3:uid="{637E4999-9708-4FDD-BFAF-03E74674742E}" uniqueName="2" name="Column2" queryTableFieldId="2" dataDxfId="16"/>
    <tableColumn id="3" xr3:uid="{978AD98D-A6F9-42C4-8D77-0ACE5F8AB24B}" uniqueName="3" name="Column3" queryTableFieldId="3" dataDxfId="15"/>
    <tableColumn id="4" xr3:uid="{E8DC6C8A-6C9F-4E74-8F29-9381883BB99B}" uniqueName="4" name="Column4" queryTableFieldId="4" dataDxfId="14"/>
    <tableColumn id="5" xr3:uid="{0CD2C03D-5F0E-4CC8-B4DA-BB4D7EED8405}" uniqueName="5" name="Column5" queryTableFieldId="5" dataDxfId="13"/>
    <tableColumn id="6" xr3:uid="{15EDD76A-AD6E-48C0-BB46-7079D19FCBB4}" uniqueName="6" name="Column6" queryTableFieldId="6"/>
    <tableColumn id="7" xr3:uid="{C8DA4D4B-07FA-42B8-98ED-EFA6AA282C5A}" uniqueName="7" name="Column7" queryTableFieldId="7" dataDxfId="12"/>
    <tableColumn id="8" xr3:uid="{D37A7943-7441-419A-B7BF-490F88AE2ADE}" uniqueName="8" name="Column8" queryTableFieldId="8" dataDxfId="11"/>
    <tableColumn id="9" xr3:uid="{D1C8446B-D251-4DCA-9E43-83D20AADE82A}" uniqueName="9" name="Column9" queryTableFieldId="9"/>
    <tableColumn id="10" xr3:uid="{546DB44D-447B-48A1-85A7-42A87F6C0B8B}" uniqueName="10" name="Column10" queryTableFieldId="10"/>
    <tableColumn id="11" xr3:uid="{364F5F70-0039-4EB0-BAC2-61222F866D3C}" uniqueName="11" name="Column11" queryTableFieldId="11"/>
    <tableColumn id="12" xr3:uid="{D3A31391-9819-4528-9915-D658608CC9FE}" uniqueName="12" name="Column12" queryTableFieldId="12"/>
    <tableColumn id="13" xr3:uid="{07067011-ED1D-40A9-BC37-6471314CAE3A}" uniqueName="13" name="Column13" queryTableFieldId="13"/>
    <tableColumn id="14" xr3:uid="{9EF2D53E-0DAA-490D-ABBA-A30F9D9FDAFB}" uniqueName="14" name="Column14" queryTableFieldId="14"/>
    <tableColumn id="15" xr3:uid="{B3D59E57-17BB-4879-868B-1CD54BB07140}" uniqueName="15" name="Column15" queryTableFieldId="15"/>
    <tableColumn id="16" xr3:uid="{57C34C8E-643D-4A12-8149-19EC8311E966}" uniqueName="16" name="Column16" queryTableFieldId="16"/>
    <tableColumn id="17" xr3:uid="{B9DF00BE-B51B-4237-BF18-152CB01E90FA}" uniqueName="17" name="Column17" queryTableFieldId="17"/>
    <tableColumn id="18" xr3:uid="{63E1F8EC-B962-422D-BC68-0F0E3001B96D}" uniqueName="18" name="Column18" queryTableFieldId="18"/>
    <tableColumn id="19" xr3:uid="{87EEFBB3-FF38-4E24-B0D1-CF7B7F147382}" uniqueName="19" name="Column19" queryTableFieldId="19"/>
    <tableColumn id="20" xr3:uid="{02AE89E9-740A-459B-98B5-79B6FA95DA82}" uniqueName="20" name="Column20" queryTableFieldId="20"/>
    <tableColumn id="21" xr3:uid="{D677AF12-F5C4-45A0-A582-DBDD92357E8E}" uniqueName="21" name="Column21" queryTableFieldId="21"/>
    <tableColumn id="22" xr3:uid="{407669DF-ACF6-44FB-98AE-4EE6E29F44F4}" uniqueName="22" name="Column22" queryTableFieldId="22" dataDxfId="10"/>
    <tableColumn id="23" xr3:uid="{438C5C63-9AD0-480A-9AA2-0FA6401ADEA8}" uniqueName="23" name="Column23" queryTableFieldId="23"/>
    <tableColumn id="24" xr3:uid="{B43E9422-D562-479C-948F-6FD394D8CC8D}" uniqueName="24" name="Coluna24" queryTableField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9" dT="2023-08-25T15:53:39.49" personId="{2A854CF7-9C5C-4D69-94A7-BBF42A10F1F5}" id="{03D10C1E-1F0B-4635-9625-1BF9F84C8EF8}">
    <text>Previsão de Abertura 2024</text>
  </threadedComment>
  <threadedComment ref="A54" dT="2023-08-25T15:54:47.48" personId="{2A854CF7-9C5C-4D69-94A7-BBF42A10F1F5}" id="{C68038C7-9C0F-4295-89D5-47AB83D817DB}">
    <text>Previsão de Abertura 2ª quinzena 2024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8" dT="2023-08-25T15:53:39.49" personId="{2A854CF7-9C5C-4D69-94A7-BBF42A10F1F5}" id="{5BDD456B-72B6-49FC-A4A0-74DFD7B897CE}">
    <text>Previsão de Abertura 2024</text>
  </threadedComment>
  <threadedComment ref="A53" dT="2023-08-25T15:54:47.48" personId="{2A854CF7-9C5C-4D69-94A7-BBF42A10F1F5}" id="{BF85FBA4-7BD7-4284-8738-5CC257E5C913}">
    <text>Previsão de Abertura 2ª quinzena 2024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211" dT="2023-12-05T14:52:42.91" personId="{62E452AB-BCDE-4CDB-8B27-160C34F21B57}" id="{35E5C605-86B2-42E5-ABCF-8468F36A186F}">
    <text>Computadores roubados 04/11/2023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google.com.br/maps/place/R.+Amadeu+Caego+Monteiro,+209+-+Parque+Anhang%C3%BCera,+S%C3%A3o+Paulo+-+SP,+05271-250/@-23.4298999,-46.7981639,17z/data=!3m1!4b1!4m6!3m5!1s0x94cefd22da1a04b9:0x8b6ddabf248e9878!8m2!3d-23.4299048!4d-46.795589!16s%2Fg%2F11c1kp43lv?entry=ttu" TargetMode="External"/><Relationship Id="rId21" Type="http://schemas.openxmlformats.org/officeDocument/2006/relationships/hyperlink" Target="https://www.google.com.br/maps/place/R.+Paulo+Eir%C3%B3,+525+-+Santo+Amaro,+S%C3%A3o+Paulo+-+SP,+04752-010/@-23.6506757,-46.7105865,17z/data=!3m1!4b1!4m5!3m4!1s0x94ce505544d36bc7:0xc4082dbe83133f96!8m2!3d-23.6506806!4d-46.7083978!5m2!1e2!1e4" TargetMode="External"/><Relationship Id="rId42" Type="http://schemas.openxmlformats.org/officeDocument/2006/relationships/hyperlink" Target="https://api.whatsapp.com/send?phone=5511998531833" TargetMode="External"/><Relationship Id="rId63" Type="http://schemas.openxmlformats.org/officeDocument/2006/relationships/hyperlink" Target="https://www.google.com.br/maps/place/R.+S%C3%A3o+Romualdo,+382+-+Vila+Diva,+S%C3%A3o+Paulo+-+SP,+02557-060/@-23.4969947,-46.6753229,17z/data=!4m13!1m7!3m6!1s0x94cef82654577a33:0xc8ae75fe673ab247!2sR.+S%C3%A3o+Romualdo,+382+-+Vila+Diva,+S%C3%A3o+Paulo+-+SP,+02557-060!3b1!8m2!3d-23.4969947!4d-46.6731342!3m4!1s0x94cef82654577a33:0xc8ae75fe673ab247!8m2!3d-23.4969947!4d-46.6731342!5m2!1e2!1e4" TargetMode="External"/><Relationship Id="rId84" Type="http://schemas.openxmlformats.org/officeDocument/2006/relationships/hyperlink" Target="https://www.google.com.br/maps/place/Av.+Nordestina,+780+-+Vila+Americana,+S%C3%A3o+Paulo+-+SP,+08021-000/@-23.4993579,-46.4427603,17z/data=!4m13!1m7!3m6!1s0x94ce61606d154d01:0x25ea4df2baf3d16a!2sAv.+Nordestina,+780+-+Vila+Americana,+S%C3%A3o+Paulo+-+SP,+08021-000!3b1!8m2!3d-23.4993579!4d-46.4405716!3m4!1s0x94ce61606d154d01:0x25ea4df2baf3d16a!8m2!3d-23.4993579!4d-46.4405716!5m2!1e4!1e2" TargetMode="External"/><Relationship Id="rId138" Type="http://schemas.openxmlformats.org/officeDocument/2006/relationships/hyperlink" Target="http://plsp.sramo@prefeitura.sp.gov.br/" TargetMode="External"/><Relationship Id="rId159" Type="http://schemas.openxmlformats.org/officeDocument/2006/relationships/hyperlink" Target="mailto:bcsp.hcandersen@prefeitura.sp.gov.br" TargetMode="External"/><Relationship Id="rId170" Type="http://schemas.openxmlformats.org/officeDocument/2006/relationships/hyperlink" Target="mailto:bcsp.mdelpicchia@prefeitura.sp.gov.br" TargetMode="External"/><Relationship Id="rId191" Type="http://schemas.openxmlformats.org/officeDocument/2006/relationships/hyperlink" Target="mailto:bcsp.vmorais@prefeitura.sp.gov.br" TargetMode="External"/><Relationship Id="rId205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107" Type="http://schemas.openxmlformats.org/officeDocument/2006/relationships/hyperlink" Target="https://api.whatsapp.com/send?phone=5511997479831" TargetMode="External"/><Relationship Id="rId11" Type="http://schemas.openxmlformats.org/officeDocument/2006/relationships/hyperlink" Target="https://www.google.com.br/maps/place/Av.+Pedroso+de+Morais,+1919+-+Pinheiros,+S%C3%A3o+Paulo+-+SP,+05419-001/@-23.5580528,-46.7030231,17z/data=!4m13!1m7!3m6!1s0x94ce57b0ea8dd0d9:0x8f933d0da41efd1!2sAv.+Pedroso+de+Morais,+1919+-+Pinheiros,+S%C3%A3o+Paulo+-+SP,+05419-001!3b1!8m2!3d-23.5580528!4d-46.7008344!3m4!1s0x94ce57b0ea8dd0d9:0x8f933d0da41efd1!8m2!3d-23.5580528!4d-46.7008344!5m2!1e4!1e2" TargetMode="External"/><Relationship Id="rId32" Type="http://schemas.openxmlformats.org/officeDocument/2006/relationships/hyperlink" Target="https://api.whatsapp.com/send?phone=5511975433158" TargetMode="External"/><Relationship Id="rId53" Type="http://schemas.openxmlformats.org/officeDocument/2006/relationships/hyperlink" Target="https://www.google.com.br/maps/place/Av.+Padre+Francisco+de+Toledo,+331+-+Artur+Alvim,+S%C3%A3o+Paulo+-+SP,+03590-120/@-23.5465116,-46.487005,17z/data=!4m13!1m7!3m6!1s0x94ce672454485d89:0x262fd96da6e0e3c7!2sAv.+Padre+Francisco+de+Toledo,+331+-+Artur+Alvim,+S%C3%A3o+Paulo+-+SP,+03590-120!3b1!8m2!3d-23.5465116!4d-46.4848163!3m4!1s0x94ce672454485d89:0x262fd96da6e0e3c7!8m2!3d-23.5465116!4d-46.4848163!5m2!1e2!1e4" TargetMode="External"/><Relationship Id="rId74" Type="http://schemas.openxmlformats.org/officeDocument/2006/relationships/hyperlink" Target="https://api.whatsapp.com/send?phone=5511999332380" TargetMode="External"/><Relationship Id="rId128" Type="http://schemas.openxmlformats.org/officeDocument/2006/relationships/hyperlink" Target="http://plsp.tsetubal@prefeitura.sp.gov.br/" TargetMode="External"/><Relationship Id="rId149" Type="http://schemas.openxmlformats.org/officeDocument/2006/relationships/hyperlink" Target="mailto:bcsp.belmonte@prefeitura.sp.gov.br" TargetMode="External"/><Relationship Id="rId5" Type="http://schemas.openxmlformats.org/officeDocument/2006/relationships/hyperlink" Target="https://www.google.com/maps/dir/-23.5265351,-46.7004937/Rua+Taquari,+549+-+Mooca,+S%C3%A3o+Paulo+-+SP,+03166-000/@-23.5407718,-46.7196124,12z/data=!3m1!4b1!4m9!4m8!1m1!4e1!1m5!1m1!1s0x94ce5936cb532e45:0x6b291504ded20524!2m2!1d-46.5996285!2d-23.5504615" TargetMode="External"/><Relationship Id="rId95" Type="http://schemas.openxmlformats.org/officeDocument/2006/relationships/hyperlink" Target="https://api.whatsapp.com/send?phone=5511959201346" TargetMode="External"/><Relationship Id="rId160" Type="http://schemas.openxmlformats.org/officeDocument/2006/relationships/hyperlink" Target="mailto:bcsp.hsilveira@prefeitura.sp.gov.br" TargetMode="External"/><Relationship Id="rId181" Type="http://schemas.openxmlformats.org/officeDocument/2006/relationships/hyperlink" Target="mailto:bcsp.rmenezes@prefeitura.sp.gov.br" TargetMode="External"/><Relationship Id="rId22" Type="http://schemas.openxmlformats.org/officeDocument/2006/relationships/hyperlink" Target="https://api.whatsapp.com/send?phone=5511953702597" TargetMode="External"/><Relationship Id="rId43" Type="http://schemas.openxmlformats.org/officeDocument/2006/relationships/hyperlink" Target="https://www.google.com.br/maps/place/R.+Jos%C3%A9+Viriato+de+Castro,+78+-+Jardim+Bom+Refugio,+S%C3%A3o+Paulo+-+SP,+05788-310/@-23.6329805,-46.7763213,17z/data=!3m1!4b1!4m5!3m4!1s0x94ce54764e512ad3:0xd65aa27f5c543f19!8m2!3d-23.6329854!4d-46.7741326!5m2!1e2!1e4" TargetMode="External"/><Relationship Id="rId64" Type="http://schemas.openxmlformats.org/officeDocument/2006/relationships/hyperlink" Target="https://api.whatsapp.com/send?phone=5511951015611" TargetMode="External"/><Relationship Id="rId118" Type="http://schemas.openxmlformats.org/officeDocument/2006/relationships/hyperlink" Target="http://plsp.bambuzal@prefeitura.sp.gov.br/" TargetMode="External"/><Relationship Id="rId139" Type="http://schemas.openxmlformats.org/officeDocument/2006/relationships/hyperlink" Target="https://www.google.com.br/maps/place/R.+Floriano+Arresti,+52+-+Conj.+Hab.+Juscelino+Kubitschek,+S%C3%A3o+Paulo+-+SP,+08465-220/@-23.5643373,-46.3964695,17z/data=!3m1!4b1!4m6!3m5!1s0x94ce6573d5aba995:0xde626eec9ddae95f!8m2!3d-23.5643422!4d-46.3938946!16s%2Fg%2F11bw4bmplb?entry=ttu" TargetMode="External"/><Relationship Id="rId85" Type="http://schemas.openxmlformats.org/officeDocument/2006/relationships/hyperlink" Target="https://api.whatsapp.com/send?phone=5511987197599" TargetMode="External"/><Relationship Id="rId150" Type="http://schemas.openxmlformats.org/officeDocument/2006/relationships/hyperlink" Target="mailto:bcsp.bbroca@prefeitura.sp.gov.br" TargetMode="External"/><Relationship Id="rId171" Type="http://schemas.openxmlformats.org/officeDocument/2006/relationships/hyperlink" Target="mailto:bcsp.msantos@prefeitura.sp.gov.br" TargetMode="External"/><Relationship Id="rId192" Type="http://schemas.openxmlformats.org/officeDocument/2006/relationships/hyperlink" Target="mailto:bcsp.vcorrea@prefeitura.sp.gov.br" TargetMode="External"/><Relationship Id="rId206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12" Type="http://schemas.openxmlformats.org/officeDocument/2006/relationships/hyperlink" Target="https://api.whatsapp.com/send?phone=5511981211034" TargetMode="External"/><Relationship Id="rId33" Type="http://schemas.openxmlformats.org/officeDocument/2006/relationships/hyperlink" Target="https://www.google.com.br/maps/place/R.+Jaricunas,+458+-+Lapa,+S%C3%A3o+Paulo+-+SP,+05053-070/@-23.5354547,-46.7033682,17z/data=!3m1!4b1!4m5!3m4!1s0x94ce57d7a778ab43:0x50996a62b0180451!8m2!3d-23.5354596!4d-46.7011795!5m2!1e2!1e4" TargetMode="External"/><Relationship Id="rId108" Type="http://schemas.openxmlformats.org/officeDocument/2006/relationships/hyperlink" Target="http://plsp.avital@prefeitura.sp.gov.br/" TargetMode="External"/><Relationship Id="rId129" Type="http://schemas.openxmlformats.org/officeDocument/2006/relationships/hyperlink" Target="https://www.google.com.br/maps/place/R.+M%C3%A1rio+Dallari,+170+-+Jardim+Sao+Vicente,+S%C3%A3o+Paulo+-+SP,+08021-580/@-23.4991935,-46.4318823,17z/data=!3m1!4b1!4m6!3m5!1s0x94ce63e8848472c7:0x58d755d7bf0baf2a!8m2!3d-23.4991984!4d-46.4293074!16s%2Fg%2F11gmz4fvds?entry=ttu" TargetMode="External"/><Relationship Id="rId54" Type="http://schemas.openxmlformats.org/officeDocument/2006/relationships/hyperlink" Target="https://api.whatsapp.com/send?phone=5511973313366" TargetMode="External"/><Relationship Id="rId75" Type="http://schemas.openxmlformats.org/officeDocument/2006/relationships/hyperlink" Target="https://www.google.com.br/maps/place/R.+Ars%C3%AAnio+Tavolieri,+45+-+Jardim+Oriental,+S%C3%A3o+Paulo+-+SP,+04321-030/@-23.65098,-46.6468344,17z/data=!3m1!4b1!4m5!3m4!1s0x94ce5ac39529b811:0xe5e97bfc6b663a46!8m2!3d-23.6507865!4d-46.6447385!5m2!1e2!1e4" TargetMode="External"/><Relationship Id="rId96" Type="http://schemas.openxmlformats.org/officeDocument/2006/relationships/hyperlink" Target="https://www.google.com.br/maps/place/Av.+Tucuruvi,+808+-+Tucuruvi,+S%C3%A3o+Paulo+-+SP,+02304-002/@-23.481341,-46.6066493,17z/data=!3m1!4b1!4m5!3m4!1s0x94cef612b92078d3:0x59606051a7a81f78!8m2!3d-23.4813459!4d-46.6044606!5m2!1e2!1e4" TargetMode="External"/><Relationship Id="rId140" Type="http://schemas.openxmlformats.org/officeDocument/2006/relationships/hyperlink" Target="mailto:bcsp.aschmidt@prefeitura.sp.gov.br" TargetMode="External"/><Relationship Id="rId161" Type="http://schemas.openxmlformats.org/officeDocument/2006/relationships/hyperlink" Target="mailto:bcsp.jahaddad@prefeitura.sp.gov.br" TargetMode="External"/><Relationship Id="rId182" Type="http://schemas.openxmlformats.org/officeDocument/2006/relationships/hyperlink" Target="mailto:bcsp.rbopp@prefeitura.sp.gov.br" TargetMode="External"/><Relationship Id="rId6" Type="http://schemas.openxmlformats.org/officeDocument/2006/relationships/hyperlink" Target="https://api.whatsapp.com/send?phone=5511984219611" TargetMode="External"/><Relationship Id="rId23" Type="http://schemas.openxmlformats.org/officeDocument/2006/relationships/hyperlink" Target="https://www.google.com.br/maps/place/Av.+Mutinga,+1425+-+Jardim+Santo+Elias,+S%C3%A3o+Paulo+-+SP,+05110-000/@-23.4856982,-46.7424856,17z/data=!3m1!4b1!4m5!3m4!1s0x94cef948ddc690ff:0x484e221b4bfe34fe!8m2!3d-23.4857031!4d-46.7402969!5m2!1e2!1e4" TargetMode="External"/><Relationship Id="rId119" Type="http://schemas.openxmlformats.org/officeDocument/2006/relationships/hyperlink" Target="https://www.google.com.br/maps/place/R.+Col.+Nova,+110+-+Jardim+Sao+Manoel,+S%C3%A3o+Paulo+-+SP,+05871-270/@-23.6868962,-46.775597,17z/data=!3m1!4b1!4m6!3m5!1s0x94ce5243f434775f:0xbb2d3602aedb07e9!8m2!3d-23.6869011!4d-46.7730221!16s%2Fg%2F11crqpyt9w?entry=ttu" TargetMode="External"/><Relationship Id="rId44" Type="http://schemas.openxmlformats.org/officeDocument/2006/relationships/hyperlink" Target="https://api.whatsapp.com/send?phone=5511992909467" TargetMode="External"/><Relationship Id="rId65" Type="http://schemas.openxmlformats.org/officeDocument/2006/relationships/hyperlink" Target="https://www.google.com.br/maps/place/Avenida+Aricanduva,+5777+-+Aricanduva,+S%C3%A3o+Paulo+-+SP,+03930-110/@-23.568595,-46.5063763,17z/data=!4m13!1m7!3m6!1s0x94ce676e4aaae8cd:0xe28ae0e79a3f0bf!2sAvenida+Aricanduva,+5777+-+Aricanduva,+S%C3%A3o+Paulo+-+SP,+03930-110!3b1!8m2!3d-23.568595!4d-46.5041876!3m4!1s0x94ce676e4aaae8cd:0xe28ae0e79a3f0bf!8m2!3d-23.568595!4d-46.5041876!5m2!1e2!1e4" TargetMode="External"/><Relationship Id="rId86" Type="http://schemas.openxmlformats.org/officeDocument/2006/relationships/hyperlink" Target="https://www.google.com.br/maps/place/Rua+Muniz+de+Sousa,+1155+-+Aclima%C3%A7%C3%A3o,+S%C3%A3o+Paulo+-+SP,+01534-001/@-23.5728216,-46.6313584,17z/data=!3m1!4b1!4m5!3m4!1s0x94ce5977040af61f:0x855a6a5b02070c6f!8m2!3d-23.5728265!4d-46.6291697!5m2!1e2!1e4" TargetMode="External"/><Relationship Id="rId130" Type="http://schemas.openxmlformats.org/officeDocument/2006/relationships/hyperlink" Target="http://plsp.pqpiqueri@prefeitura.sp.gov.br/" TargetMode="External"/><Relationship Id="rId151" Type="http://schemas.openxmlformats.org/officeDocument/2006/relationships/hyperlink" Target="mailto:bcsp.ccesar@prefeitura.sp.gov.br" TargetMode="External"/><Relationship Id="rId172" Type="http://schemas.openxmlformats.org/officeDocument/2006/relationships/hyperlink" Target="mailto:bcsp.mlobato@prefeitura.sp.gov.br" TargetMode="External"/><Relationship Id="rId193" Type="http://schemas.openxmlformats.org/officeDocument/2006/relationships/hyperlink" Target="https://api.whatsapp.com/send?phone=5511975574992" TargetMode="External"/><Relationship Id="rId207" Type="http://schemas.openxmlformats.org/officeDocument/2006/relationships/printerSettings" Target="../printerSettings/printerSettings1.bin"/><Relationship Id="rId13" Type="http://schemas.openxmlformats.org/officeDocument/2006/relationships/hyperlink" Target="https://www.google.com.br/maps/place/R.+Jos%C3%A9+Cl%C3%B3vis+de+Castro+-+Jardim+da+Sa%C3%BAde,+S%C3%A3o+Paulo+-+SP,+04290-100/@-23.6123343,-46.6191337,17z/data=!3m1!4b1!4m5!3m4!1s0x94ce5ba3f2e41929:0x68e9f3dda3bcf8eb!8m2!3d-23.6123392!4d-46.616945!5m2!1e2!1e4" TargetMode="External"/><Relationship Id="rId109" Type="http://schemas.openxmlformats.org/officeDocument/2006/relationships/hyperlink" Target="https://www.google.com.br/maps/place/Av.+dos+Metal%C3%BArgicos,+2255+-+Cidade+Tiradentes,+S%C3%A3o+Paulo+-+SP,+08471-002/@-23.5986747,-46.4044843,17z/data=!3m1!4b1!4m6!3m5!1s0x94ce6f75725a9127:0xa995dd187b6f2e5c!8m2!3d-23.5986796!4d-46.4019094!16s%2Fg%2F11bw4p2mnd?entry=ttu" TargetMode="External"/><Relationship Id="rId34" Type="http://schemas.openxmlformats.org/officeDocument/2006/relationships/hyperlink" Target="https://api.whatsapp.com/send?phone=5511964220211" TargetMode="External"/><Relationship Id="rId55" Type="http://schemas.openxmlformats.org/officeDocument/2006/relationships/hyperlink" Target="https://www.google.com.br/maps/place/Pra%C3%A7a+Haroldo+Daltro,+451+-+Vila+Nova+Manchester,+S%C3%A3o+Paulo+-+SP,+03444-090/@-23.5473626,-46.533802,17z/data=!4m5!3m4!1s0x94ce5e0becaa831d:0x21c5daecd3ca092f!8m2!3d-23.5469053!4d-46.5318708!5m2!1e2!1e4" TargetMode="External"/><Relationship Id="rId76" Type="http://schemas.openxmlformats.org/officeDocument/2006/relationships/hyperlink" Target="https://api.whatsapp.com/send?phone=5511994694744" TargetMode="External"/><Relationship Id="rId97" Type="http://schemas.openxmlformats.org/officeDocument/2006/relationships/hyperlink" Target="https://api.whatsapp.com/send?phone=5511964409933" TargetMode="External"/><Relationship Id="rId120" Type="http://schemas.openxmlformats.org/officeDocument/2006/relationships/hyperlink" Target="http://plsp.cjesus@prefeitura.sp.gov.br/" TargetMode="External"/><Relationship Id="rId141" Type="http://schemas.openxmlformats.org/officeDocument/2006/relationships/hyperlink" Target="mailto:bcsp.ataunay@prefeitura.sp.gov.br" TargetMode="External"/><Relationship Id="rId7" Type="http://schemas.openxmlformats.org/officeDocument/2006/relationships/hyperlink" Target="https://www.google.com.br/maps/place/Rua+Henrique+Schaumann,+777+-+Pinheiros,+S%C3%A3o+Paulo+-+SP,+05413-021/@-23.5582704,-46.6845268,17z/data=!3m1!4b1!4m5!3m4!1s0x94ce579b0eb539b9:0xf0f4c969852dd394!8m2!3d-23.5582753!4d-46.6823381!5m2!1e4!1e2" TargetMode="External"/><Relationship Id="rId162" Type="http://schemas.openxmlformats.org/officeDocument/2006/relationships/hyperlink" Target="mailto:bcsp.jcortez@prefeitura.sp.gov.br" TargetMode="External"/><Relationship Id="rId183" Type="http://schemas.openxmlformats.org/officeDocument/2006/relationships/hyperlink" Target="mailto:bcsp.rramos@prefeitura.sp.gov.br" TargetMode="External"/><Relationship Id="rId24" Type="http://schemas.openxmlformats.org/officeDocument/2006/relationships/hyperlink" Target="https://api.whatsapp.com/send?phone=5511993884488" TargetMode="External"/><Relationship Id="rId45" Type="http://schemas.openxmlformats.org/officeDocument/2006/relationships/hyperlink" Target="https://www.google.com.br/maps/place/R.+Andes,+491+-+Guaianases,+S%C3%A3o+Paulo+-+SP,+08440-180/@-23.5375274,-46.4120846,17z/data=!3m1!4b1!4m5!3m4!1s0x94ce64501a9c96f1:0x592ab571e150ff!8m2!3d-23.5375323!4d-46.4098959!5m2!1e2!1e4" TargetMode="External"/><Relationship Id="rId66" Type="http://schemas.openxmlformats.org/officeDocument/2006/relationships/hyperlink" Target="https://api.whatsapp.com/send?phone=5511971277806" TargetMode="External"/><Relationship Id="rId87" Type="http://schemas.openxmlformats.org/officeDocument/2006/relationships/hyperlink" Target="https://api.whatsapp.com/send?phone=5511974926647" TargetMode="External"/><Relationship Id="rId110" Type="http://schemas.openxmlformats.org/officeDocument/2006/relationships/hyperlink" Target="http://plsp.jk@prefeitura.sp.gov.br/" TargetMode="External"/><Relationship Id="rId131" Type="http://schemas.openxmlformats.org/officeDocument/2006/relationships/hyperlink" Target="https://www.google.com.br/maps/place/R.+Tuiuti,+515+-+Tatuap%C3%A9,+S%C3%A3o+Paulo+-+SP,+03081-003/@-23.5296072,-46.578156,17z/data=!3m1!4b1!4m6!3m5!1s0x94ce5edfb0ac04dd:0xc1f4144b0f9007cd!8m2!3d-23.5296121!4d-46.5755811!16s%2Fg%2F11gfgmt6hr?entry=ttu" TargetMode="External"/><Relationship Id="rId61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82" Type="http://schemas.openxmlformats.org/officeDocument/2006/relationships/hyperlink" Target="https://www.google.com.br/maps/place/Av.+Jo%C3%A3o+Dias,+822+-+Santo+Amaro,+S%C3%A3o+Paulo+-+SP,+04724-001/@-23.6454441,-46.7108237,17z/data=!3m1!4b1!4m5!3m4!1s0x94ce50fe10ca184b:0x5778089718ba92a2!8m2!3d-23.645449!4d-46.708635!5m2!1e2!1e4" TargetMode="External"/><Relationship Id="rId152" Type="http://schemas.openxmlformats.org/officeDocument/2006/relationships/hyperlink" Target="mailto:bcsp.cricardo@prefeitura.sp.gov.br" TargetMode="External"/><Relationship Id="rId173" Type="http://schemas.openxmlformats.org/officeDocument/2006/relationships/hyperlink" Target="mailto:bcsp.nfontes@prefeitura.sp.gov.br" TargetMode="External"/><Relationship Id="rId194" Type="http://schemas.openxmlformats.org/officeDocument/2006/relationships/hyperlink" Target="https://www.google.com.br/maps/place/Rua+Aba,+23+-+Jardim+Aurora+(Zona+Leste),+S%C3%A3o+Paulo+-+SP,+08430-853/@-23.5328415,-46.4231286,20.25z/data=!4m10!1m2!2m1!1sRua+Aba,+23+Cj.+Hab.+Baltazar+Cisneir!3m6!1s0x94ce643e363f55d9:0x35db22f767f293dc!8m2!3d-23.5329836!4d-46.4228709!15sCiVSdWEgQWJhLCAyMyBDai4gSGFiLiBCYWx0YXphciBDaXNuZWlykgERY29tcG91bmRfYnVpbGRpbmfgAQA!16s%2Fg%2F11gccfpf2x?entry=ttu" TargetMode="External"/><Relationship Id="rId199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203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208" Type="http://schemas.openxmlformats.org/officeDocument/2006/relationships/drawing" Target="../drawings/drawing1.xml"/><Relationship Id="rId19" Type="http://schemas.openxmlformats.org/officeDocument/2006/relationships/hyperlink" Target="https://www.google.com.br/maps/place/Rua+Otto+Shubart,+196+-+Parque+S%C3%A3o+Lucas,+S%C3%A3o+Paulo+-+SP,+03238-030/@-23.5949806,-46.5498407,17z/data=!3m1!4b1!4m5!3m4!1s0x94ce5d0777bd3667:0x8087fbf37f14792c!8m2!3d-23.5949855!4d-46.547652" TargetMode="External"/><Relationship Id="rId14" Type="http://schemas.openxmlformats.org/officeDocument/2006/relationships/hyperlink" Target="https://api.whatsapp.com/send?phone=5511949959316" TargetMode="External"/><Relationship Id="rId30" Type="http://schemas.openxmlformats.org/officeDocument/2006/relationships/hyperlink" Target="https://api.whatsapp.com/send?phone=5511992507249" TargetMode="External"/><Relationship Id="rId35" Type="http://schemas.openxmlformats.org/officeDocument/2006/relationships/hyperlink" Target="https://www.google.com.br/maps/place/R.+Otelo+Augusto+Ribeiro,+113+-+Guaianases,+S%C3%A3o+Paulo+-+SP,+08412-000/@-23.5446164,-46.412065,17z/data=!4m13!1m7!3m6!1s0x94ce64529aed3043:0x2a81a7bae67fadc1!2sR.+Otelo+Augusto+Ribeiro,+113+-+Guaianases,+S%C3%A3o+Paulo+-+SP,+08412-000!3b1!8m2!3d-23.5446164!4d-46.4098763!3m4!1s0x94ce64529aed3043:0x2a81a7bae67fadc1!8m2!3d-23.5446164!4d-46.4098763!5m2!1e2!1e4" TargetMode="External"/><Relationship Id="rId56" Type="http://schemas.openxmlformats.org/officeDocument/2006/relationships/hyperlink" Target="https://api.whatsapp.com/send?phone=5511987651676" TargetMode="External"/><Relationship Id="rId77" Type="http://schemas.openxmlformats.org/officeDocument/2006/relationships/hyperlink" Target="https://www.google.com.br/maps/place/Biblioteca+P%C3%BAblica+Paulo+S%C3%A9rgio+Duarte+Milliet/@-23.5527417,-46.5771496,17z/data=!4m9!1m2!2m1!1zVGF0dWFww6kgUMOnYS4gSXR1emFpbmfDsywgcy9uwrou!3m5!1s0x94ce5e9649d825cf:0xf24736dbcc1059e5!8m2!3d-23.5527966!4d-46.5727615!15sCiFUYXR1YXDDqSBQw6dhLiBJdHV6YWluZ8OzLCBzL27Cui6SAQ5wdWJsaWNfbGlicmFyeQ!5m2!1e4!1e2" TargetMode="External"/><Relationship Id="rId100" Type="http://schemas.openxmlformats.org/officeDocument/2006/relationships/hyperlink" Target="https://www.google.com.br/maps/place/R.+Guilherme+Valencia,+210+-+Conj.+Res.+Jos%C3%A9+Bonif%C3%A1cio,+S%C3%A3o+Paulo+-+SP,+08253-280/@-23.5500594,-46.4426017,17z/data=!4m13!1m7!3m6!1s0x94ce6682611f9377:0x92c362d2eb818c35!2sR.+Guilherme+Valencia,+210+-+Conj.+Res.+Jos%C3%A9+Bonif%C3%A1cio,+S%C3%A3o+Paulo+-+SP,+08253-280!3b1!8m2!3d-23.5500594!4d-46.440413!3m4!1s0x94ce6682611f9377:0x92c362d2eb818c35!8m2!3d-23.5500594!4d-46.440413!5m2!1e4!1e2" TargetMode="External"/><Relationship Id="rId105" Type="http://schemas.openxmlformats.org/officeDocument/2006/relationships/hyperlink" Target="https://api.whatsapp.com/send?phone=5511985077878" TargetMode="External"/><Relationship Id="rId126" Type="http://schemas.openxmlformats.org/officeDocument/2006/relationships/hyperlink" Target="http://plsp.lapenna@prefeitura.sp.gov.br/" TargetMode="External"/><Relationship Id="rId147" Type="http://schemas.openxmlformats.org/officeDocument/2006/relationships/hyperlink" Target="mailto:bcsp.amgiacomo@prefeitura.sp.gov.br" TargetMode="External"/><Relationship Id="rId168" Type="http://schemas.openxmlformats.org/officeDocument/2006/relationships/hyperlink" Target="mailto:bcsp.mrey@prefeitura.sp.gov.br" TargetMode="External"/><Relationship Id="rId8" Type="http://schemas.openxmlformats.org/officeDocument/2006/relationships/hyperlink" Target="https://api.whatsapp.com/send?phone=5511992244297" TargetMode="External"/><Relationship Id="rId51" Type="http://schemas.openxmlformats.org/officeDocument/2006/relationships/hyperlink" Target="https://www.google.com.br/maps/place/Largo+do+Ros%C3%A1rio,+20+-+Penha+de+Fran%C3%A7a,+S%C3%A3o+Paulo+-+SP,+03634-020/@-23.5258658,-46.5506074,17z/data=!4m13!1m7!3m6!1s0x94ce5e50e3ff37a9:0xbde5359785f3754b!2sLargo+do+Ros%C3%A1rio,+20+-+Penha+de+Fran%C3%A7a,+S%C3%A3o+Paulo+-+SP,+03634-020!3b1!8m2!3d-23.5258658!4d-46.5484187!3m4!1s0x94ce5e50e3ff37a9:0xbde5359785f3754b!8m2!3d-23.5258658!4d-46.5484187!5m2!1e2!1e4" TargetMode="External"/><Relationship Id="rId72" Type="http://schemas.openxmlformats.org/officeDocument/2006/relationships/hyperlink" Target="https://api.whatsapp.com/send?phone=5511960675912" TargetMode="External"/><Relationship Id="rId93" Type="http://schemas.openxmlformats.org/officeDocument/2006/relationships/hyperlink" Target="https://api.whatsapp.com/send?phone=5511981511398" TargetMode="External"/><Relationship Id="rId98" Type="http://schemas.openxmlformats.org/officeDocument/2006/relationships/hyperlink" Target="https://www.google.com.br/maps/place/R.+Dr.+Artur+Fajardo,+447+-+Freguesia+do+%C3%93,+S%C3%A3o+Paulo+-+SP,+02963-000/@-23.486229,-46.7031765,17z/data=!3m1!4b1!4m5!3m4!1s0x94cef9af9441093d:0x65ffce62ce72f44f!8m2!3d-23.4862339!4d-46.7009878!5m2!1e2!1e4" TargetMode="External"/><Relationship Id="rId121" Type="http://schemas.openxmlformats.org/officeDocument/2006/relationships/hyperlink" Target="https://www.google.com.br/maps/place/Secretaria+Municipal+de+Participa%C3%A7%C3%A3o+e+Parceria-Smpp/@-23.8279641,-46.7252295,17z/data=!3m1!4b1!4m6!3m5!1s0x94ce49c7309ad81d:0x42f092f3b903db1f!8m2!3d-23.827969!4d-46.7226546!16s%2Fg%2F1s04f32l3?entry=ttu" TargetMode="External"/><Relationship Id="rId142" Type="http://schemas.openxmlformats.org/officeDocument/2006/relationships/hyperlink" Target="mailto:bcsp.aalima@prefeitura.sp.gov.br" TargetMode="External"/><Relationship Id="rId163" Type="http://schemas.openxmlformats.org/officeDocument/2006/relationships/hyperlink" Target="mailto:bcsp.jmvasconcelos@prefeitura.sp.gov.br" TargetMode="External"/><Relationship Id="rId184" Type="http://schemas.openxmlformats.org/officeDocument/2006/relationships/hyperlink" Target="mailto:bcsp.rsantos@prefeitura.sp.gov.br" TargetMode="External"/><Relationship Id="rId189" Type="http://schemas.openxmlformats.org/officeDocument/2006/relationships/hyperlink" Target="mailto:bcsp.vcarvalho@PREFEITURA.SP.GOV.BR" TargetMode="External"/><Relationship Id="rId3" Type="http://schemas.openxmlformats.org/officeDocument/2006/relationships/hyperlink" Target="https://www.google.com.br/maps/place/Av.+El%C3%ADsio+Teixeira+Leite,+1470+-+Vila+Brasilandia,+S%C3%A3o+Paulo+-+SP,+02801-000/@-23.4812406,-46.703354,17z/data=!3m1!4b1!4m5!3m4!1s0x94cef9a49080d919:0x54b4aa2671289b07!8m2!3d-23.4812455!4d-46.7011653!5m2!1e2!1e4" TargetMode="External"/><Relationship Id="rId25" Type="http://schemas.openxmlformats.org/officeDocument/2006/relationships/hyperlink" Target="https://www.google.com.br/maps/place/R.+Valdemar+Sanches,+41+-+Butant%C3%A3,+S%C3%A3o+Paulo+-+SP,+05589-050/@-23.5760322,-46.7402726,17z/data=!4m13!1m7!3m6!1s0x94ce5665333e00b7:0x428636e25486453f!2sR.+Valdemar+Sanches,+41+-+Butant%C3%A3,+S%C3%A3o+Paulo+-+SP,+05589-050!3b1!8m2!3d-23.5760322!4d-46.7380839!3m4!1s0x94ce5665333e00b7:0x428636e25486453f!8m2!3d-23.5760322!4d-46.7380839!5m2!1e4!1e2" TargetMode="External"/><Relationship Id="rId46" Type="http://schemas.openxmlformats.org/officeDocument/2006/relationships/hyperlink" Target="https://api.whatsapp.com/send?phone=5511995637090" TargetMode="External"/><Relationship Id="rId67" Type="http://schemas.openxmlformats.org/officeDocument/2006/relationships/hyperlink" Target="https://www.google.com.br/maps/place/Rua+Gen.+Jardim,+485+-+Vila+Buarque,+S%C3%A3o+Paulo+-+SP,+01223-011/@-23.5448076,-46.6513743,17z/data=!3m1!4b1!4m5!3m4!1s0x94ce5848669495b1:0xde9f043ba36bfb9f!8m2!3d-23.5448125!4d-46.6491856!5m2!1e2!1e4" TargetMode="External"/><Relationship Id="rId116" Type="http://schemas.openxmlformats.org/officeDocument/2006/relationships/hyperlink" Target="http://plsp.pqanhanguera@prefeitura.sp.gov.br/" TargetMode="External"/><Relationship Id="rId137" Type="http://schemas.openxmlformats.org/officeDocument/2006/relationships/hyperlink" Target="https://www.google.com.br/maps/place/R.+Santa+Cresc%C3%AAncia,+191+-+Ferreira,+S%C3%A3o+Paulo+-+SP,+05524-020/@-23.5990723,-46.7464003,17z/data=!3m1!4b1!4m5!3m4!1s0x94ce569c0cef79f1:0x8cafd6b2e5d322d6!8m2!3d-23.5990772!4d-46.7438254?entry=ttu" TargetMode="External"/><Relationship Id="rId158" Type="http://schemas.openxmlformats.org/officeDocument/2006/relationships/hyperlink" Target="mailto:bcsp.gfreyre@prefeitura.sp.gov.br" TargetMode="External"/><Relationship Id="rId20" Type="http://schemas.openxmlformats.org/officeDocument/2006/relationships/hyperlink" Target="https://api.whatsapp.com/send?phone=5511963524218" TargetMode="External"/><Relationship Id="rId41" Type="http://schemas.openxmlformats.org/officeDocument/2006/relationships/hyperlink" Target="https://www.google.com.br/maps/place/Av.+Celso+Garcia,+4142+-+Tatuap%C3%A9,+S%C3%A3o+Paulo+-+SP,+03064-000/@-23.5360579,-46.5747992,17z/data=!4m13!1m7!3m6!1s0x94ce5ee7dec78d49:0x7ff4820babf27863!2sAv.+Celso+Garcia,+4142+-+Tatuap%C3%A9,+S%C3%A3o+Paulo+-+SP,+03064-000!3b1!8m2!3d-23.5360579!4d-46.5726105!3m4!1s0x94ce5ee7dec78d49:0x7ff4820babf27863!8m2!3d-23.5360579!4d-46.5726105!5m2!1e2!1e4" TargetMode="External"/><Relationship Id="rId62" Type="http://schemas.openxmlformats.org/officeDocument/2006/relationships/hyperlink" Target="https://api.whatsapp.com/send?phone=5511991285919" TargetMode="External"/><Relationship Id="rId83" Type="http://schemas.openxmlformats.org/officeDocument/2006/relationships/hyperlink" Target="https://api.whatsapp.com/send?phone=5511986427755" TargetMode="External"/><Relationship Id="rId88" Type="http://schemas.openxmlformats.org/officeDocument/2006/relationships/hyperlink" Target="https://www.google.com.br/maps/place/Pra%C3%A7a+do+Centen%C3%A1rio+de+Vila+Prudente,+25+-+Vila+Prudente,+S%C3%A3o+Paulo+-+SP,+03132-050/@-23.5819543,-46.5853209,17z/data=!4m13!1m7!3m6!1s0x94ce5c11e5e73df7:0xc6314c2a037165a4!2sPra%C3%A7a+do+Centen%C3%A1rio+de+Vila+Prudente,+25+-+Vila+Prudente,+S%C3%A3o+Paulo+-+SP,+03132-050!3b1!8m2!3d-23.5819543!4d-46.5831322!3m4!1s0x94ce5c11e5e73df7:0xc6314c2a037165a4!8m2!3d-23.5819543!4d-46.5831322!5m2!1e4!1e2" TargetMode="External"/><Relationship Id="rId111" Type="http://schemas.openxmlformats.org/officeDocument/2006/relationships/hyperlink" Target="https://www.google.com.br/maps/place/R.+In%C3%A1cio+Monteiro,+55+-+Cidade+Tiradentes,+S%C3%A3o+Paulo+-+SP,+08474-480/@-23.5641701,-46.4097222,17z/data=!3m1!4b1!4m6!3m5!1s0x94ce65a2741ea797:0xefd99a77bbc604f8!8m2!3d-23.564175!4d-46.4071473!16s%2Fg%2F11sbkx_p9y?entry=ttu" TargetMode="External"/><Relationship Id="rId132" Type="http://schemas.openxmlformats.org/officeDocument/2006/relationships/hyperlink" Target="http://plsp.butanta@prefeitura.sp.gov.br/" TargetMode="External"/><Relationship Id="rId153" Type="http://schemas.openxmlformats.org/officeDocument/2006/relationships/hyperlink" Target="mailto:bcsp.calves@prefeitura.sp.gov.br" TargetMode="External"/><Relationship Id="rId174" Type="http://schemas.openxmlformats.org/officeDocument/2006/relationships/hyperlink" Target="mailto:bcsp.nsantanna@prefeitura.sp.gov.br" TargetMode="External"/><Relationship Id="rId179" Type="http://schemas.openxmlformats.org/officeDocument/2006/relationships/hyperlink" Target="mailto:bcsp.pnava@prefeitura.sp.gov.br" TargetMode="External"/><Relationship Id="rId195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209" Type="http://schemas.openxmlformats.org/officeDocument/2006/relationships/vmlDrawing" Target="../drawings/vmlDrawing1.vml"/><Relationship Id="rId190" Type="http://schemas.openxmlformats.org/officeDocument/2006/relationships/hyperlink" Target="mailto:bcsp.vpguimaraes@prefeitura.sp.gov.br" TargetMode="External"/><Relationship Id="rId204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15" Type="http://schemas.openxmlformats.org/officeDocument/2006/relationships/hyperlink" Target="https://www.google.com.br/maps/place/R.+Cojuba,+45+-+Itaim+Bibi,+S%C3%A3o+Paulo+-+SP,+04533-040/@-23.5868886,-46.6862259,17z/data=!3m1!4b1!4m5!3m4!1s0x94ce5742335201fd:0xf4f8285beec21b6b!8m2!3d-23.5868935!4d-46.6840372!5m2!1e4!1e2" TargetMode="External"/><Relationship Id="rId36" Type="http://schemas.openxmlformats.org/officeDocument/2006/relationships/hyperlink" Target="https://api.whatsapp.com/send?phone=5511975574992" TargetMode="External"/><Relationship Id="rId57" Type="http://schemas.openxmlformats.org/officeDocument/2006/relationships/hyperlink" Target="https://www.google.com.br/maps/place/R.+Br%C3%A1s+Pires+Meira,+100+-+Jardim+Susana,+S%C3%A3o+Paulo+-+SP,+04784-150/@-23.6894439,-46.7114787,17z/data=!3m1!4b1!4m5!3m4!1s0x94ce4e2ab492253f:0x172078541e7e8713!8m2!3d-23.6894488!4d-46.70929!5m2!1e2!1e4" TargetMode="External"/><Relationship Id="rId106" Type="http://schemas.openxmlformats.org/officeDocument/2006/relationships/hyperlink" Target="https://www.google.com.br/maps/place/R.+Sena+Madureira,+298+-+Vila+Mariana,+S%C3%A3o+Paulo+-+SP,+04021-050/@-23.5932396,-46.6408148,17z/data=!3m1!4b1!4m5!3m4!1s0x94ce5a2edaf73939:0x150e58b220b3be2a!8m2!3d-23.5932445!4d-46.6386261!5m2!1e2!1e4" TargetMode="External"/><Relationship Id="rId127" Type="http://schemas.openxmlformats.org/officeDocument/2006/relationships/hyperlink" Target="https://www.google.com.br/maps/place/R.+Serra+da+Juruoca,+112+-+Jardim+Lapena,+S%C3%A3o+Paulo+-+SP,+08071-180/@-23.4882092,-46.4510802,17z/data=!3m1!4b1!4m6!3m5!1s0x94ce6179f96109bd:0x771dc700251bc812!8m2!3d-23.4882141!4d-46.4485053!16s%2Fg%2F11bw49t_mv?entry=ttu" TargetMode="External"/><Relationship Id="rId10" Type="http://schemas.openxmlformats.org/officeDocument/2006/relationships/hyperlink" Target="https://api.whatsapp.com/send?phone=5511998801676" TargetMode="External"/><Relationship Id="rId31" Type="http://schemas.openxmlformats.org/officeDocument/2006/relationships/hyperlink" Target="https://www.google.com.br/maps/place/R.+Br%C3%A1s+Louren%C3%A7o,+333+-+Vila+Mariana,+S%C3%A3o+Paulo+-+SP,+04113-110/@-23.5833749,-46.6255742,17z/data=!3m1!4b1!4m5!3m4!1s0x94ce5bd7ea2173c9:0x97a8b944eea70598!8m2!3d-23.5833798!4d-46.6233855!5m2!1e2!1e4" TargetMode="External"/><Relationship Id="rId52" Type="http://schemas.openxmlformats.org/officeDocument/2006/relationships/hyperlink" Target="https://api.whatsapp.com/send?phone=5511962764256" TargetMode="External"/><Relationship Id="rId73" Type="http://schemas.openxmlformats.org/officeDocument/2006/relationships/hyperlink" Target="https://www.google.com.br/maps/place/R.+Ant%C3%B4nio+Maia,+651+-+Vila+Perus,+S%C3%A3o+Paulo+-+SP,+05204-110/@-23.4072322,-46.7571034,17z/data=!3m1!4b1!4m5!3m4!1s0x94cefcaf0b347731:0x69478ee613f336f2!8m2!3d-23.4072371!4d-46.7549147!5m2!1e2!1e4" TargetMode="External"/><Relationship Id="rId78" Type="http://schemas.openxmlformats.org/officeDocument/2006/relationships/hyperlink" Target="https://api.whatsapp.com/send?phone=5511974176665" TargetMode="External"/><Relationship Id="rId94" Type="http://schemas.openxmlformats.org/officeDocument/2006/relationships/hyperlink" Target="https://www.google.com.br/maps/place/Rua+Vict%C3%B3rio+Santim,+44+-+Itaquera,+S%C3%A3o+Paulo+-+SP,+08290-000/@-23.5369651,-46.4567063,17z/data=!3m1!4b1!4m5!3m4!1s0x94ce66b942700001:0x58237f56b383054f!8m2!3d-23.53697!4d-46.4545176!5m2!1e4!1e2" TargetMode="External"/><Relationship Id="rId99" Type="http://schemas.openxmlformats.org/officeDocument/2006/relationships/hyperlink" Target="https://api.whatsapp.com/send?phone=5511997847311" TargetMode="External"/><Relationship Id="rId101" Type="http://schemas.openxmlformats.org/officeDocument/2006/relationships/hyperlink" Target="https://api.whatsapp.com/send?phone=5512996480591" TargetMode="External"/><Relationship Id="rId122" Type="http://schemas.openxmlformats.org/officeDocument/2006/relationships/hyperlink" Target="http://plsp.olido@prefeitura.sp.gov.br/" TargetMode="External"/><Relationship Id="rId143" Type="http://schemas.openxmlformats.org/officeDocument/2006/relationships/hyperlink" Target="mailto:bcsp.aazevedo@prefeitura.sp.gov.br" TargetMode="External"/><Relationship Id="rId148" Type="http://schemas.openxmlformats.org/officeDocument/2006/relationships/hyperlink" Target="mailto:bcsp.aleite@prefeitura.sp.gov.br" TargetMode="External"/><Relationship Id="rId164" Type="http://schemas.openxmlformats.org/officeDocument/2006/relationships/hyperlink" Target="mailto:bcsp.josepaulopaes@prefeitura.sp.gov.br" TargetMode="External"/><Relationship Id="rId169" Type="http://schemas.openxmlformats.org/officeDocument/2006/relationships/hyperlink" Target="mailto:bcsp.mschenberg@prefeitura.sp.gov.br" TargetMode="External"/><Relationship Id="rId185" Type="http://schemas.openxmlformats.org/officeDocument/2006/relationships/hyperlink" Target="mailto:bcsp.rbmorais@prefeitura.sp.gov.br" TargetMode="External"/><Relationship Id="rId4" Type="http://schemas.openxmlformats.org/officeDocument/2006/relationships/hyperlink" Target="https://api.whatsapp.com/send?phone=5511997901826" TargetMode="External"/><Relationship Id="rId9" Type="http://schemas.openxmlformats.org/officeDocument/2006/relationships/hyperlink" Target="https://www.google.com.br/maps/place/Pra%C3%A7a+Joaquim+Jos%C3%A9+da+Nova+-+Vila+Maria+Alta,+S%C3%A3o+Paulo+-+SP,+02126-000/@-23.5041778,-46.594555,17z/data=!3m1!4b1!4m5!3m4!1s0x94ce5f52b8c72a33:0x68612f0fec055e8a!8m2!3d-23.5041827!4d-46.5923663!5m2!1e2!1e4" TargetMode="External"/><Relationship Id="rId180" Type="http://schemas.openxmlformats.org/officeDocument/2006/relationships/hyperlink" Target="mailto:bcsp.ppmaia@prefeitura.sp.gov.br" TargetMode="External"/><Relationship Id="rId210" Type="http://schemas.openxmlformats.org/officeDocument/2006/relationships/ctrlProp" Target="../ctrlProps/ctrlProp1.xml"/><Relationship Id="rId26" Type="http://schemas.openxmlformats.org/officeDocument/2006/relationships/hyperlink" Target="https://api.whatsapp.com/send?phone=5511986035708" TargetMode="External"/><Relationship Id="rId47" Type="http://schemas.openxmlformats.org/officeDocument/2006/relationships/hyperlink" Target="https://www.google.com.br/maps/place/Av.+Dep.+Em%C3%ADlio+Carlos,+3641+-+Vila+dos+Andrades,+S%C3%A3o+Paulo+-+SP,+02721-200/@-23.4759149,-46.6726027,17z/data=!3m1!4b1!4m5!3m4!1s0x94cef77d5fdc8d89:0xe524257190fb2af9!8m2!3d-23.4759198!4d-46.670414!5m2!1e2!1e4" TargetMode="External"/><Relationship Id="rId68" Type="http://schemas.openxmlformats.org/officeDocument/2006/relationships/hyperlink" Target="https://api.whatsapp.com/send?phone=5511994773113" TargetMode="External"/><Relationship Id="rId89" Type="http://schemas.openxmlformats.org/officeDocument/2006/relationships/hyperlink" Target="https://api.whatsapp.com/send?phone=5511981276492" TargetMode="External"/><Relationship Id="rId112" Type="http://schemas.openxmlformats.org/officeDocument/2006/relationships/hyperlink" Target="http://plsp.pqrodeio@prefeitura.sp.gov.br/" TargetMode="External"/><Relationship Id="rId133" Type="http://schemas.openxmlformats.org/officeDocument/2006/relationships/hyperlink" Target="https://www.google.com.br/maps/place/Av.+Junta+Mizumoto,+13+-+Jardim+Peri+Peri,+S%C3%A3o+Paulo+-+SP,+05537-070/@-23.587012,-46.7353897,17z/data=!3m1!4b1!4m6!3m5!1s0x94ce568c07a1d73d:0x23e224e9f79eab7a!8m2!3d-23.5870169!4d-46.7328148!16s%2Fg%2F11c3q57hrq?entry=ttu" TargetMode="External"/><Relationship Id="rId154" Type="http://schemas.openxmlformats.org/officeDocument/2006/relationships/hyperlink" Target="mailto:bcsp.ccastelo@prefeitura.sp.gov.br" TargetMode="External"/><Relationship Id="rId175" Type="http://schemas.openxmlformats.org/officeDocument/2006/relationships/hyperlink" Target="mailto:bcsp.pjanchieta@prefeitura.sp.gov.br" TargetMode="External"/><Relationship Id="rId196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200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16" Type="http://schemas.openxmlformats.org/officeDocument/2006/relationships/hyperlink" Target="https://api.whatsapp.com/send?phone=5511982358411" TargetMode="External"/><Relationship Id="rId37" Type="http://schemas.openxmlformats.org/officeDocument/2006/relationships/hyperlink" Target="https://www.google.com.br/maps/place/Biblioteca+P%C3%BAblica+Erico+Ver%C3%ADssimo/@-23.4447598,-46.7178303,17z/data=!3m1!4b1!4m5!3m4!1s0x94cefbc90d79b067:0x61fc1a84e54a291e!8m2!3d-23.4447642!4d-46.7156318!5m2!1e2!1e4" TargetMode="External"/><Relationship Id="rId58" Type="http://schemas.openxmlformats.org/officeDocument/2006/relationships/hyperlink" Target="https://api.whatsapp.com/send?phone=5511992287079" TargetMode="External"/><Relationship Id="rId79" Type="http://schemas.openxmlformats.org/officeDocument/2006/relationships/hyperlink" Target="https://www.google.com.br/maps/place/Av.+Renata,+163+-+Ch%C3%A1cara+Belenzinho,+S%C3%A3o+Paulo+-+SP,+03377-000/@-23.5717249,-46.5425618,17z/data=!4m13!1m7!3m6!1s0x94ce5dc74b395849:0x67a83d083004ad18!2sAv.+Renata,+163+-+Ch%C3%A1cara+Belenzinho,+S%C3%A3o+Paulo+-+SP,+03377-000!3b1!8m2!3d-23.5717249!4d-46.5403731!3m4!1s0x94ce5dc74b395849:0x67a83d083004ad18!8m2!3d-23.5717249!4d-46.5403731!5m2!1e4!1e2" TargetMode="External"/><Relationship Id="rId102" Type="http://schemas.openxmlformats.org/officeDocument/2006/relationships/hyperlink" Target="https://www.google.com.br/maps/place/Biblioteca+Vicente+Paulo+Guimar%C3%A3es/@-23.5017272,-46.4229117,17z/data=!4m13!1m7!3m6!1s0x94ce63ed4f4fe571:0x4112f74bd47e6ab!2sR.+Jaguar,+225+-+Vila+Curu%C3%A7%C3%A1+Velha,+S%C3%A3o+Paulo+-+SP,+08030-460!3b1!8m2!3d-23.5017321!4d-46.420723!3m4!1s0x94ce63ed51f5d6af:0xa09c04b4cb106aa3!8m2!3d-23.5018326!4d-46.4207181!5m2!1e4!1e2" TargetMode="External"/><Relationship Id="rId123" Type="http://schemas.openxmlformats.org/officeDocument/2006/relationships/hyperlink" Target="https://www.google.com.br/maps/place/Centro+Cultural+Olido/@-23.5433631,-46.6413966,17z/data=!3m1!4b1!4m6!3m5!1s0x94ce58510937209f:0xc619b77fdf8afbf7!8m2!3d-23.543368!4d-46.6388217!16s%2Fg%2F1yw0_qcnp?entry=ttu" TargetMode="External"/><Relationship Id="rId144" Type="http://schemas.openxmlformats.org/officeDocument/2006/relationships/hyperlink" Target="mailto:bcsp.aguerra@frefeitura.sp.gov.br" TargetMode="External"/><Relationship Id="rId90" Type="http://schemas.openxmlformats.org/officeDocument/2006/relationships/hyperlink" Target="https://www.google.com.br/maps/place/R.+Cisplatina,+505+-+Ipiranga,+S%C3%A3o+Paulo+-+SP,+04211-040/@-23.5877205,-46.604586,17z/data=!3m1!4b1!4m5!3m4!1s0x94ce5bf1daada2d9:0x90c0661bc8e422ae!8m2!3d-23.5877254!4d-46.6023973!5m2!1e2!1e4" TargetMode="External"/><Relationship Id="rId165" Type="http://schemas.openxmlformats.org/officeDocument/2006/relationships/hyperlink" Target="mailto:bcsp.jralvares@prefeitura.sp.gov.br" TargetMode="External"/><Relationship Id="rId186" Type="http://schemas.openxmlformats.org/officeDocument/2006/relationships/hyperlink" Target="mailto:bcsp.sbholanda@prefeitura.sp.gov.br" TargetMode="External"/><Relationship Id="rId211" Type="http://schemas.openxmlformats.org/officeDocument/2006/relationships/comments" Target="../comments1.xml"/><Relationship Id="rId27" Type="http://schemas.openxmlformats.org/officeDocument/2006/relationships/hyperlink" Target="https://www.google.com.br/maps/place/Av.+Celso+Garcia,+4200+-+Tatuap%C3%A9,+S%C3%A3o+Paulo+-+SP,+03064-000/@-23.5361308,-46.5742256,17z/data=!4m13!1m7!3m6!1s0x94ce5ee7d63989d5:0x485c35cffe9b46f6!2sAv.+Celso+Garcia,+4200+-+Tatuap%C3%A9,+S%C3%A3o+Paulo+-+SP,+03064-000!3b1!8m2!3d-23.5361308!4d-46.5720369!3m4!1s0x94ce5ee7d63989d5:0x485c35cffe9b46f6!8m2!3d-23.5361308!4d-46.5720369!5m2!1e2!1e4" TargetMode="External"/><Relationship Id="rId48" Type="http://schemas.openxmlformats.org/officeDocument/2006/relationships/hyperlink" Target="https://api.whatsapp.com/send?phone=5511987855187" TargetMode="External"/><Relationship Id="rId69" Type="http://schemas.openxmlformats.org/officeDocument/2006/relationships/hyperlink" Target="https://www.google.com.br/maps/place/R.+Conselheiro+Moreira+de+Barros,+170+-+Santana,+S%C3%A3o+Paulo+-+SP,+02018-010/@-23.4966503,-46.6296246,17z/data=!3m1!4b1!4m5!3m4!1s0x94cef63223e0ac85:0x4be5b820950eb4db!8m2!3d-23.4966552!4d-46.6274359!5m2!1e2!1e4" TargetMode="External"/><Relationship Id="rId113" Type="http://schemas.openxmlformats.org/officeDocument/2006/relationships/hyperlink" Target="https://www.google.com.br/maps/place/R.+Igarap%C3%A9+da+Bela+Aurora,+342+-+Guaianases,+S%C3%A3o+Paulo+-+SP,+08472-200/@-23.57494,-46.4025957,17z/data=!3m1!4b1!4m6!3m5!1s0x94ce6578bdf1585f:0xd9cf079e7540b6bf!8m2!3d-23.5749449!4d-46.4000208!16s%2Fg%2F11c5p7bxv_?entry=ttu" TargetMode="External"/><Relationship Id="rId134" Type="http://schemas.openxmlformats.org/officeDocument/2006/relationships/hyperlink" Target="mailto:plsp.srafael@prefeitura.sp.gov.br" TargetMode="External"/><Relationship Id="rId80" Type="http://schemas.openxmlformats.org/officeDocument/2006/relationships/hyperlink" Target="https://www.google.com.br/maps/place/Av.+Eng.+Caetano+%C3%81lvares,+5903+-+Imirim,+S%C3%A3o+Paulo+-+SP,+02413-100/@-23.4827681,-46.6345485,17z/data=!3m1!4b1!4m5!3m4!1s0x94cef7b2d11f51e1:0xf9dd98a48666091b!8m2!3d-23.482773!4d-46.6323598!5m2!1e2!1e4" TargetMode="External"/><Relationship Id="rId155" Type="http://schemas.openxmlformats.org/officeDocument/2006/relationships/hyperlink" Target="mailto:bcsp.clispector@prefeitura.sp.gov.br" TargetMode="External"/><Relationship Id="rId176" Type="http://schemas.openxmlformats.org/officeDocument/2006/relationships/hyperlink" Target="mailto:bcsp.pduarte@prefeitura.sp.gov.br" TargetMode="External"/><Relationship Id="rId197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201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17" Type="http://schemas.openxmlformats.org/officeDocument/2006/relationships/hyperlink" Target="https://www.google.com.br/maps/place/R.+Restinga,+136+-+Tatuap%C3%A9,+S%C3%A3o+Paulo+-+SP,+03065-020/@-23.5399255,-46.5826944,17z/data=!4m13!1m7!3m6!1s0x94ce5ec4c47861d1:0xb4f16da16f66aaf2!2sR.+Restinga,+136+-+Tatuap%C3%A9,+S%C3%A3o+Paulo+-+SP,+03065-020!3b1!8m2!3d-23.5399255!4d-46.5805057!3m4!1s0x94ce5ec4c47861d1:0xb4f16da16f66aaf2!8m2!3d-23.5399255!4d-46.5805057" TargetMode="External"/><Relationship Id="rId38" Type="http://schemas.openxmlformats.org/officeDocument/2006/relationships/hyperlink" Target="https://api.whatsapp.com/send?phone=5511985382997" TargetMode="External"/><Relationship Id="rId59" Type="http://schemas.openxmlformats.org/officeDocument/2006/relationships/hyperlink" Target="https://www.google.com.br/maps/place/Av.+Anac%C3%A9,+92+-+Jardim+Umarizal,+S%C3%A3o+Paulo+-+SP,+05755-090/@-23.6177286,-46.7594651,17z/data=!3m1!4b1!4m5!3m4!1s0x94ce541a9c339649:0x37dc9c44074eeb98!8m2!3d-23.6177335!4d-46.7572764!5m2!1e2!1e4" TargetMode="External"/><Relationship Id="rId103" Type="http://schemas.openxmlformats.org/officeDocument/2006/relationships/hyperlink" Target="https://api.whatsapp.com/send?phone=5511949402153" TargetMode="External"/><Relationship Id="rId124" Type="http://schemas.openxmlformats.org/officeDocument/2006/relationships/hyperlink" Target="mailto:plsp.gramos@prefeitura.sp.gov.br" TargetMode="External"/><Relationship Id="rId70" Type="http://schemas.openxmlformats.org/officeDocument/2006/relationships/hyperlink" Target="https://api.whatsapp.com/send?phone=5511977628952" TargetMode="External"/><Relationship Id="rId91" Type="http://schemas.openxmlformats.org/officeDocument/2006/relationships/hyperlink" Target="https://api.whatsapp.com/send?phone=5511993999848" TargetMode="External"/><Relationship Id="rId145" Type="http://schemas.openxmlformats.org/officeDocument/2006/relationships/hyperlink" Target="mailto:bcsp.aamaral@prefeitura.sp.gov.br" TargetMode="External"/><Relationship Id="rId166" Type="http://schemas.openxmlformats.org/officeDocument/2006/relationships/hyperlink" Target="mailto:bcsp.lenyrafraccaroli@prefeitura.sp.gov.br" TargetMode="External"/><Relationship Id="rId187" Type="http://schemas.openxmlformats.org/officeDocument/2006/relationships/hyperlink" Target="mailto:bcsp.sorthof@prefeitura.sp.gov.br" TargetMode="External"/><Relationship Id="rId1" Type="http://schemas.openxmlformats.org/officeDocument/2006/relationships/hyperlink" Target="https://www.google.com.br/maps/place/Pra%C3%A7a+Ilo+Ottani,+146+-+Pari,+S%C3%A3o+Paulo+-+SP,+03028-003/@-23.526501,-46.6128159,17z/data=!3m1!4b1!4m5!3m4!1s0x94ce58c231921d73:0x49fdba2e3cfb728a!8m2!3d-23.5265059!4d-46.6106272!5m2!1e2!1e4" TargetMode="External"/><Relationship Id="rId212" Type="http://schemas.microsoft.com/office/2017/10/relationships/threadedComment" Target="../threadedComments/threadedComment1.xml"/><Relationship Id="rId28" Type="http://schemas.openxmlformats.org/officeDocument/2006/relationships/hyperlink" Target="https://api.whatsapp.com/send?phone=5511959201158" TargetMode="External"/><Relationship Id="rId49" Type="http://schemas.openxmlformats.org/officeDocument/2006/relationships/hyperlink" Target="https://www.google.com.br/maps/place/Pra%C3%A7a+Comandante+Eduardo+de+Oliveira,+100+-+Parque+Edu+Chaves,+S%C3%A3o+Paulo+-+SP,+02233-060/@-23.477238,-46.5667975,17z/data=!3m1!4b1!4m5!3m4!1s0x94cef58ff690c6a3:0x1b4f68db109b3bc9!8m2!3d-23.4772429!4d-46.5646088!5m2!1e2!1e4" TargetMode="External"/><Relationship Id="rId114" Type="http://schemas.openxmlformats.org/officeDocument/2006/relationships/hyperlink" Target="http://plsp.vmara@prefeitura.sp.gov.br/" TargetMode="External"/><Relationship Id="rId60" Type="http://schemas.openxmlformats.org/officeDocument/2006/relationships/hyperlink" Target="https://api.whatsapp.com/send?phone=5511999712991" TargetMode="External"/><Relationship Id="rId81" Type="http://schemas.openxmlformats.org/officeDocument/2006/relationships/hyperlink" Target="https://api.whatsapp.com/send?phone=5511967117027" TargetMode="External"/><Relationship Id="rId135" Type="http://schemas.openxmlformats.org/officeDocument/2006/relationships/hyperlink" Target="https://www.google.com.br/maps/place/R.+Fortaleza+de+Itapema,+268+-+Jardim+Vera+Cruz(Zona+Leste),+S%C3%A3o+Paulo+-+SP,+08330-054/@-23.6181564,-46.4744253,17z/data=!3m1!4b1!4m6!3m5!1s0x94ce688ede71dd09:0x9fd02abe325d9af2!8m2!3d-23.6181613!4d-46.4718504!16s%2Fg%2F11bw4p2y64?entry=ttu" TargetMode="External"/><Relationship Id="rId156" Type="http://schemas.openxmlformats.org/officeDocument/2006/relationships/hyperlink" Target="mailto:bcsp.ccoralina@prefeitura.sp.gov.br" TargetMode="External"/><Relationship Id="rId177" Type="http://schemas.openxmlformats.org/officeDocument/2006/relationships/hyperlink" Target="mailto:bcsp.pmilliet@prefeitura.sp.gov.br" TargetMode="External"/><Relationship Id="rId198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202" Type="http://schemas.openxmlformats.org/officeDocument/2006/relationships/hyperlink" Target="https://www.google.com.br/maps/place/R.+Cat%C3%A3o,+611+-+Vila+Romana,+S%C3%A3o+Paulo+-+SP,+05049-000/@-23.5266196,-46.7025323,17z/data=!3m1!4b1!4m5!3m4!1s0x94cef87a6e9c5ca9:0x53952af7562ae4d7!8m2!3d-23.5266245!4d-46.7003436!5m2!1e2!1e4" TargetMode="External"/><Relationship Id="rId18" Type="http://schemas.openxmlformats.org/officeDocument/2006/relationships/hyperlink" Target="https://api.whatsapp.com/send?phone=5511989859623" TargetMode="External"/><Relationship Id="rId39" Type="http://schemas.openxmlformats.org/officeDocument/2006/relationships/hyperlink" Target="https://www.google.com.br/maps/place/R.+Jos%C3%A9+Joaquim,+290+-+Parque+Luis+Mucciolo,+S%C3%A3o+Paulo+-+SP,+03272-000/@-23.6010969,-46.5190148,17z/data=!4m13!1m7!3m6!1s0x94ce5d603b4b390b:0xbb12146073924a59!2sR.+Jos%C3%A9+Joaquim,+290+-+Parque+Luis+Mucciolo,+S%C3%A3o+Paulo+-+SP,+03272-000!3b1!8m2!3d-23.6010969!4d-46.5168261!3m4!1s0x94ce5d603b4b390b:0xbb12146073924a59!8m2!3d-23.6010969!4d-46.5168261!5m2!1e2!1e4" TargetMode="External"/><Relationship Id="rId50" Type="http://schemas.openxmlformats.org/officeDocument/2006/relationships/hyperlink" Target="https://api.whatsapp.com/send?phone=5511971272574" TargetMode="External"/><Relationship Id="rId104" Type="http://schemas.openxmlformats.org/officeDocument/2006/relationships/hyperlink" Target="https://www.google.com.br/maps/place/R.+Jardim+Tamoio,+1119+-+Conj.+Res.+Jos%C3%A9+Bonif%C3%A1cio,+S%C3%A3o+Paulo+-+SP,+08253-445/@-23.5535732,-46.4383616,17z/data=!3m1!4b1!4m5!3m4!1s0x94ce642b12655555:0xdb0cbb76f0a768ff!8m2!3d-23.5535781!4d-46.4361729!5m2!1e4!1e2" TargetMode="External"/><Relationship Id="rId125" Type="http://schemas.openxmlformats.org/officeDocument/2006/relationships/hyperlink" Target="https://www.google.com.br/maps/place/R.+Prof.+Oscar+Barreto+Filho,+252+-+Parque+America,+S%C3%A3o+Paulo+-+SP,+04822-300/@-23.735575,-46.6942195,17z/data=!3m1!4b1!4m6!3m5!1s0x94ce4f1491a1cab7:0x6295808fbef9a542!8m2!3d-23.7355799!4d-46.6916446!16s%2Fg%2F11bw44dlfx?entry=ttu" TargetMode="External"/><Relationship Id="rId146" Type="http://schemas.openxmlformats.org/officeDocument/2006/relationships/hyperlink" Target="mailto:bcsp.afrank@prefeitura.sp.gov.br" TargetMode="External"/><Relationship Id="rId167" Type="http://schemas.openxmlformats.org/officeDocument/2006/relationships/hyperlink" Target="mailto:bcsp.mtahan@prefeitura.sp.gov.br" TargetMode="External"/><Relationship Id="rId188" Type="http://schemas.openxmlformats.org/officeDocument/2006/relationships/hyperlink" Target="mailto:bcsp.tcandrade@prefeitura.sp.gov.br" TargetMode="External"/><Relationship Id="rId71" Type="http://schemas.openxmlformats.org/officeDocument/2006/relationships/hyperlink" Target="https://www.google.com.br/maps/place/Pra%C3%A7a+Ten%C3%B3rio+de+Aguiar,+32+-+Jardim+S%C3%A3o+Paulo,+S%C3%A3o+Paulo+-+SP,+02044-080/@-23.4986329,-46.6214371,17z/data=!3m1!4b1!4m5!3m4!1s0x94cef624462148b1:0x287e0cb5023af66!8m2!3d-23.4986378!4d-46.6192484!5m2!1e2!1e4" TargetMode="External"/><Relationship Id="rId92" Type="http://schemas.openxmlformats.org/officeDocument/2006/relationships/hyperlink" Target="https://www.google.com.br/maps/place/R.+Sampei+Sato,+440+-+Jardim+Matarazzo,+S%C3%A3o+Paulo+-+SP,+03814-000/@-23.4864731,-46.4827006,17z/data=!4m13!1m7!3m6!1s0x94ce605267410fa1:0x60ea0fd2ac959209!2sR.+Sampei+Sato,+440+-+Jardim+Matarazzo,+S%C3%A3o+Paulo+-+SP,+03814-000!3b1!8m2!3d-23.4864731!4d-46.4805119!3m4!1s0x94ce605267410fa1:0x60ea0fd2ac959209!8m2!3d-23.4864731!4d-46.4805119!5m2!1e4!1e2" TargetMode="External"/><Relationship Id="rId2" Type="http://schemas.openxmlformats.org/officeDocument/2006/relationships/hyperlink" Target="https://api.whatsapp.com/send?phone=5511992358172" TargetMode="External"/><Relationship Id="rId29" Type="http://schemas.openxmlformats.org/officeDocument/2006/relationships/hyperlink" Target="https://www.google.com.br/maps/place/Biblioteca+Castro+Alves/@-23.6312645,-46.5923647,17z/data=!3m1!4b1!4m5!3m4!1s0x94ce5ca16666ebe5:0x946894c00e4f8755!8m2!3d-23.6311806!4d-46.5903031!5m2!1e2!1e4" TargetMode="External"/><Relationship Id="rId40" Type="http://schemas.openxmlformats.org/officeDocument/2006/relationships/hyperlink" Target="https://api.whatsapp.com/send?phone=5511965335440" TargetMode="External"/><Relationship Id="rId115" Type="http://schemas.openxmlformats.org/officeDocument/2006/relationships/hyperlink" Target="https://www.google.com.br/maps/place/R.+Concei%C3%A7%C3%A3o+do+Almeida,+170+-+Parque+Paulistano,+S%C3%A3o+Paulo+-+SP,+08081-370/@-23.4918523,-46.4238393,17z/data=!3m1!4b1!4m6!3m5!1s0x94ce63c041e19feb:0x12a51c170fa22de8!8m2!3d-23.4918572!4d-46.4212644!16s%2Fg%2F11c0psx6zl?entry=ttu" TargetMode="External"/><Relationship Id="rId136" Type="http://schemas.openxmlformats.org/officeDocument/2006/relationships/hyperlink" Target="http://plsp.cjockey@prefeitura.sp.gov.br/" TargetMode="External"/><Relationship Id="rId157" Type="http://schemas.openxmlformats.org/officeDocument/2006/relationships/hyperlink" Target="mailto:bcsp.everissimo@prefeitura.sp.gov.br" TargetMode="External"/><Relationship Id="rId178" Type="http://schemas.openxmlformats.org/officeDocument/2006/relationships/hyperlink" Target="mailto:bcsp.psetubal@prefeitura.sp.gov.br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cosilva@PREFEITURA.SP.GOV.BR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s://www.google.com/maps/place/Rua+Pascoal+Ranieri,+75+-+Canind%C3%A9,+S%C3%A3o+Paulo+-+SP,+03034-060/@-23.5235961,-46.6184948,17z/data=!3m1!4b1!4m6!3m5!1s0x94ce58934b2a1be7:0xacd6781cb33a085c!8m2!3d-23.5235961!4d-46.6184948!16s%2Fg%2F11bw4ndyky?entry=ttu" TargetMode="External"/><Relationship Id="rId1" Type="http://schemas.openxmlformats.org/officeDocument/2006/relationships/hyperlink" Target="https://www.google.com/maps/place/Rua+Pascoal+Ranieri,+75+-+Canind%C3%A9,+S%C3%A3o+Paulo+-+SP,+03034-060/@-23.5235961,-46.6184948,17z/data=!3m1!4b1!4m6!3m5!1s0x94ce58934b2a1be7:0xacd6781cb33a085c!8m2!3d-23.5235961!4d-46.6184948!16s%2Fg%2F11bw4ndyky?entry=ttu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mailto:lcosilva@PREFEITURA.SP.GOV.BR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bcsp.jralvares@prefeitura.sp.gov.br" TargetMode="External"/><Relationship Id="rId21" Type="http://schemas.openxmlformats.org/officeDocument/2006/relationships/hyperlink" Target="mailto:bcsp.hsilveira@prefeitura.sp.gov.br" TargetMode="External"/><Relationship Id="rId42" Type="http://schemas.openxmlformats.org/officeDocument/2006/relationships/hyperlink" Target="mailto:bcsp.rbopp@prefeitura.sp.gov.br" TargetMode="External"/><Relationship Id="rId47" Type="http://schemas.openxmlformats.org/officeDocument/2006/relationships/hyperlink" Target="mailto:bcsp.sorthof@prefeitura.sp.gov.br" TargetMode="External"/><Relationship Id="rId63" Type="http://schemas.openxmlformats.org/officeDocument/2006/relationships/hyperlink" Target="http://plsp.tsetubal@prefeitura.sp.gov.br/" TargetMode="External"/><Relationship Id="rId68" Type="http://schemas.openxmlformats.org/officeDocument/2006/relationships/hyperlink" Target="http://plsp.sramo@prefeitura.sp.gov.br/" TargetMode="External"/><Relationship Id="rId7" Type="http://schemas.openxmlformats.org/officeDocument/2006/relationships/hyperlink" Target="mailto:bcsp.afrank@prefeitura.sp.gov.br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bcsp.ataunay@prefeitura.sp.gov.br" TargetMode="External"/><Relationship Id="rId16" Type="http://schemas.openxmlformats.org/officeDocument/2006/relationships/hyperlink" Target="mailto:bcsp.clispector@prefeitura.sp.gov.br" TargetMode="External"/><Relationship Id="rId29" Type="http://schemas.openxmlformats.org/officeDocument/2006/relationships/hyperlink" Target="mailto:bcsp.mschenberg@prefeitura.sp.gov.br" TargetMode="External"/><Relationship Id="rId11" Type="http://schemas.openxmlformats.org/officeDocument/2006/relationships/hyperlink" Target="mailto:bcsp.bbroca@prefeitura.sp.gov.br" TargetMode="External"/><Relationship Id="rId24" Type="http://schemas.openxmlformats.org/officeDocument/2006/relationships/hyperlink" Target="mailto:bcsp.jmvasconcelos@prefeitura.sp.gov.br" TargetMode="External"/><Relationship Id="rId32" Type="http://schemas.openxmlformats.org/officeDocument/2006/relationships/hyperlink" Target="mailto:bcsp.mlobato@prefeitura.sp.gov.br" TargetMode="External"/><Relationship Id="rId37" Type="http://schemas.openxmlformats.org/officeDocument/2006/relationships/hyperlink" Target="mailto:bcsp.pmilliet@prefeitura.sp.gov.br" TargetMode="External"/><Relationship Id="rId40" Type="http://schemas.openxmlformats.org/officeDocument/2006/relationships/hyperlink" Target="mailto:bcsp.ppmaia@prefeitura.sp.gov.br" TargetMode="External"/><Relationship Id="rId45" Type="http://schemas.openxmlformats.org/officeDocument/2006/relationships/hyperlink" Target="mailto:bcsp.rbmorais@prefeitura.sp.gov.br" TargetMode="External"/><Relationship Id="rId53" Type="http://schemas.openxmlformats.org/officeDocument/2006/relationships/hyperlink" Target="http://plsp.avital@prefeitura.sp.gov.br/" TargetMode="External"/><Relationship Id="rId58" Type="http://schemas.openxmlformats.org/officeDocument/2006/relationships/hyperlink" Target="http://plsp.bambuzal@prefeitura.sp.gov.br/" TargetMode="External"/><Relationship Id="rId66" Type="http://schemas.openxmlformats.org/officeDocument/2006/relationships/hyperlink" Target="mailto:plsp.srafael@prefeitura.sp.gov.br" TargetMode="External"/><Relationship Id="rId5" Type="http://schemas.openxmlformats.org/officeDocument/2006/relationships/hyperlink" Target="mailto:bcsp.aguerra@frefeitura.sp.gov.br" TargetMode="External"/><Relationship Id="rId61" Type="http://schemas.openxmlformats.org/officeDocument/2006/relationships/hyperlink" Target="mailto:plsp.gramos@prefeitura.sp.gov.br" TargetMode="External"/><Relationship Id="rId19" Type="http://schemas.openxmlformats.org/officeDocument/2006/relationships/hyperlink" Target="mailto:bcsp.gfreyre@prefeitura.sp.gov.br" TargetMode="External"/><Relationship Id="rId14" Type="http://schemas.openxmlformats.org/officeDocument/2006/relationships/hyperlink" Target="mailto:bcsp.calves@prefeitura.sp.gov.br" TargetMode="External"/><Relationship Id="rId22" Type="http://schemas.openxmlformats.org/officeDocument/2006/relationships/hyperlink" Target="mailto:bcsp.jahaddad@prefeitura.sp.gov.br" TargetMode="External"/><Relationship Id="rId27" Type="http://schemas.openxmlformats.org/officeDocument/2006/relationships/hyperlink" Target="mailto:bcsp.lenyrafraccaroli@prefeitura.sp.gov.br" TargetMode="External"/><Relationship Id="rId30" Type="http://schemas.openxmlformats.org/officeDocument/2006/relationships/hyperlink" Target="mailto:bcsp.mdelpicchia@prefeitura.sp.gov.br" TargetMode="External"/><Relationship Id="rId35" Type="http://schemas.openxmlformats.org/officeDocument/2006/relationships/hyperlink" Target="mailto:bcsp.pjanchieta@prefeitura.sp.gov.br" TargetMode="External"/><Relationship Id="rId43" Type="http://schemas.openxmlformats.org/officeDocument/2006/relationships/hyperlink" Target="mailto:bcsp.rramos@prefeitura.sp.gov.br" TargetMode="External"/><Relationship Id="rId48" Type="http://schemas.openxmlformats.org/officeDocument/2006/relationships/hyperlink" Target="mailto:bcsp.tcandrade@prefeitura.sp.gov.br" TargetMode="External"/><Relationship Id="rId56" Type="http://schemas.openxmlformats.org/officeDocument/2006/relationships/hyperlink" Target="http://plsp.vmara@prefeitura.sp.gov.br/" TargetMode="External"/><Relationship Id="rId64" Type="http://schemas.openxmlformats.org/officeDocument/2006/relationships/hyperlink" Target="http://plsp.pqpiqueri@prefeitura.sp.gov.br/" TargetMode="External"/><Relationship Id="rId69" Type="http://schemas.openxmlformats.org/officeDocument/2006/relationships/hyperlink" Target="mailto:bcsp.mtahan@prefeitura.sp.gov.br" TargetMode="External"/><Relationship Id="rId8" Type="http://schemas.openxmlformats.org/officeDocument/2006/relationships/hyperlink" Target="mailto:bcsp.amgiacomo@prefeitura.sp.gov.br" TargetMode="External"/><Relationship Id="rId51" Type="http://schemas.openxmlformats.org/officeDocument/2006/relationships/hyperlink" Target="mailto:bcsp.vmorais@prefeitura.sp.gov.br" TargetMode="External"/><Relationship Id="rId72" Type="http://schemas.openxmlformats.org/officeDocument/2006/relationships/drawing" Target="../drawings/drawing3.xml"/><Relationship Id="rId3" Type="http://schemas.openxmlformats.org/officeDocument/2006/relationships/hyperlink" Target="mailto:bcsp.aalima@prefeitura.sp.gov.br" TargetMode="External"/><Relationship Id="rId12" Type="http://schemas.openxmlformats.org/officeDocument/2006/relationships/hyperlink" Target="mailto:bcsp.ccesar@prefeitura.sp.gov.br" TargetMode="External"/><Relationship Id="rId17" Type="http://schemas.openxmlformats.org/officeDocument/2006/relationships/hyperlink" Target="mailto:bcsp.ccoralina@prefeitura.sp.gov.br" TargetMode="External"/><Relationship Id="rId25" Type="http://schemas.openxmlformats.org/officeDocument/2006/relationships/hyperlink" Target="mailto:bcsp.josepaulopaes@prefeitura.sp.gov.br" TargetMode="External"/><Relationship Id="rId33" Type="http://schemas.openxmlformats.org/officeDocument/2006/relationships/hyperlink" Target="mailto:bcsp.nfontes@prefeitura.sp.gov.br" TargetMode="External"/><Relationship Id="rId38" Type="http://schemas.openxmlformats.org/officeDocument/2006/relationships/hyperlink" Target="mailto:bcsp.psetubal@prefeitura.sp.gov.br" TargetMode="External"/><Relationship Id="rId46" Type="http://schemas.openxmlformats.org/officeDocument/2006/relationships/hyperlink" Target="mailto:bcsp.sbholanda@prefeitura.sp.gov.br" TargetMode="External"/><Relationship Id="rId59" Type="http://schemas.openxmlformats.org/officeDocument/2006/relationships/hyperlink" Target="http://plsp.cjesus@prefeitura.sp.gov.br/" TargetMode="External"/><Relationship Id="rId67" Type="http://schemas.openxmlformats.org/officeDocument/2006/relationships/hyperlink" Target="http://plsp.cjockey@prefeitura.sp.gov.br/" TargetMode="External"/><Relationship Id="rId20" Type="http://schemas.openxmlformats.org/officeDocument/2006/relationships/hyperlink" Target="mailto:bcsp.hcandersen@prefeitura.sp.gov.br" TargetMode="External"/><Relationship Id="rId41" Type="http://schemas.openxmlformats.org/officeDocument/2006/relationships/hyperlink" Target="mailto:bcsp.rmenezes@prefeitura.sp.gov.br" TargetMode="External"/><Relationship Id="rId54" Type="http://schemas.openxmlformats.org/officeDocument/2006/relationships/hyperlink" Target="http://plsp.jk@prefeitura.sp.gov.br/" TargetMode="External"/><Relationship Id="rId62" Type="http://schemas.openxmlformats.org/officeDocument/2006/relationships/hyperlink" Target="http://plsp.lapenna@prefeitura.sp.gov.br/" TargetMode="External"/><Relationship Id="rId70" Type="http://schemas.openxmlformats.org/officeDocument/2006/relationships/hyperlink" Target="mailto:bcsp.afigueiredo@prefeitura.sp.gov.br" TargetMode="External"/><Relationship Id="rId1" Type="http://schemas.openxmlformats.org/officeDocument/2006/relationships/hyperlink" Target="mailto:bcsp.aschmidt@prefeitura.sp.gov.br" TargetMode="External"/><Relationship Id="rId6" Type="http://schemas.openxmlformats.org/officeDocument/2006/relationships/hyperlink" Target="mailto:bcsp.aamaral@prefeitura.sp.gov.br" TargetMode="External"/><Relationship Id="rId15" Type="http://schemas.openxmlformats.org/officeDocument/2006/relationships/hyperlink" Target="mailto:bcsp.ccastelo@prefeitura.sp.gov.br" TargetMode="External"/><Relationship Id="rId23" Type="http://schemas.openxmlformats.org/officeDocument/2006/relationships/hyperlink" Target="mailto:bcsp.jcortez@prefeitura.sp.gov.br" TargetMode="External"/><Relationship Id="rId28" Type="http://schemas.openxmlformats.org/officeDocument/2006/relationships/hyperlink" Target="mailto:bcsp.mrey@prefeitura.sp.gov.br" TargetMode="External"/><Relationship Id="rId36" Type="http://schemas.openxmlformats.org/officeDocument/2006/relationships/hyperlink" Target="mailto:bcsp.pduarte@prefeitura.sp.gov.br" TargetMode="External"/><Relationship Id="rId49" Type="http://schemas.openxmlformats.org/officeDocument/2006/relationships/hyperlink" Target="mailto:bcsp.vcarvalho@PREFEITURA.SP.GOV.BR" TargetMode="External"/><Relationship Id="rId57" Type="http://schemas.openxmlformats.org/officeDocument/2006/relationships/hyperlink" Target="http://plsp.pqanhanguera@prefeitura.sp.gov.br/" TargetMode="External"/><Relationship Id="rId10" Type="http://schemas.openxmlformats.org/officeDocument/2006/relationships/hyperlink" Target="mailto:bcsp.belmonte@prefeitura.sp.gov.br" TargetMode="External"/><Relationship Id="rId31" Type="http://schemas.openxmlformats.org/officeDocument/2006/relationships/hyperlink" Target="mailto:bcsp.msantos@prefeitura.sp.gov.br" TargetMode="External"/><Relationship Id="rId44" Type="http://schemas.openxmlformats.org/officeDocument/2006/relationships/hyperlink" Target="mailto:bcsp.rsantos@prefeitura.sp.gov.br" TargetMode="External"/><Relationship Id="rId52" Type="http://schemas.openxmlformats.org/officeDocument/2006/relationships/hyperlink" Target="mailto:bcsp.vcorrea@prefeitura.sp.gov.br" TargetMode="External"/><Relationship Id="rId60" Type="http://schemas.openxmlformats.org/officeDocument/2006/relationships/hyperlink" Target="http://plsp.olido@prefeitura.sp.gov.br/" TargetMode="External"/><Relationship Id="rId65" Type="http://schemas.openxmlformats.org/officeDocument/2006/relationships/hyperlink" Target="http://plsp.butanta@prefeitura.sp.gov.br/" TargetMode="External"/><Relationship Id="rId4" Type="http://schemas.openxmlformats.org/officeDocument/2006/relationships/hyperlink" Target="mailto:bcsp.aazevedo@prefeitura.sp.gov.br" TargetMode="External"/><Relationship Id="rId9" Type="http://schemas.openxmlformats.org/officeDocument/2006/relationships/hyperlink" Target="mailto:bcsp.aleite@prefeitura.sp.gov.br" TargetMode="External"/><Relationship Id="rId13" Type="http://schemas.openxmlformats.org/officeDocument/2006/relationships/hyperlink" Target="mailto:bcsp.cricardo@prefeitura.sp.gov.br" TargetMode="External"/><Relationship Id="rId18" Type="http://schemas.openxmlformats.org/officeDocument/2006/relationships/hyperlink" Target="mailto:bcsp.everissimo@prefeitura.sp.gov.br" TargetMode="External"/><Relationship Id="rId39" Type="http://schemas.openxmlformats.org/officeDocument/2006/relationships/hyperlink" Target="mailto:bcsp.pnava@prefeitura.sp.gov.br" TargetMode="External"/><Relationship Id="rId34" Type="http://schemas.openxmlformats.org/officeDocument/2006/relationships/hyperlink" Target="mailto:bcsp.nsantanna@prefeitura.sp.gov.br" TargetMode="External"/><Relationship Id="rId50" Type="http://schemas.openxmlformats.org/officeDocument/2006/relationships/hyperlink" Target="mailto:bcsp.vpguimaraes@prefeitura.sp.gov.br" TargetMode="External"/><Relationship Id="rId55" Type="http://schemas.openxmlformats.org/officeDocument/2006/relationships/hyperlink" Target="http://plsp.pqrodeio@prefeitura.sp.gov.br/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10.59.132.66/" TargetMode="External"/><Relationship Id="rId117" Type="http://schemas.openxmlformats.org/officeDocument/2006/relationships/hyperlink" Target="https://10.59.114.66/" TargetMode="External"/><Relationship Id="rId21" Type="http://schemas.openxmlformats.org/officeDocument/2006/relationships/hyperlink" Target="https://10.59.107.2/" TargetMode="External"/><Relationship Id="rId42" Type="http://schemas.openxmlformats.org/officeDocument/2006/relationships/hyperlink" Target="https://10.59.110.194/" TargetMode="External"/><Relationship Id="rId47" Type="http://schemas.openxmlformats.org/officeDocument/2006/relationships/hyperlink" Target="http://10.59.120.66/sws/index.html" TargetMode="External"/><Relationship Id="rId63" Type="http://schemas.openxmlformats.org/officeDocument/2006/relationships/hyperlink" Target="mailto:bcsp.ataunay@prefeitura.sp.gov.br" TargetMode="External"/><Relationship Id="rId68" Type="http://schemas.openxmlformats.org/officeDocument/2006/relationships/hyperlink" Target="mailto:bcsp.afrank@prefeitura.sp.gov.br" TargetMode="External"/><Relationship Id="rId84" Type="http://schemas.openxmlformats.org/officeDocument/2006/relationships/hyperlink" Target="mailto:bcsp.jcortez@prefeitura.sp.gov.br" TargetMode="External"/><Relationship Id="rId89" Type="http://schemas.openxmlformats.org/officeDocument/2006/relationships/hyperlink" Target="mailto:bcsp.mtahan@prefeitura.sp.gov.br" TargetMode="External"/><Relationship Id="rId112" Type="http://schemas.openxmlformats.org/officeDocument/2006/relationships/hyperlink" Target="mailto:bcsp.vpguimaraes@prefeitura.sp.gov.br" TargetMode="External"/><Relationship Id="rId16" Type="http://schemas.openxmlformats.org/officeDocument/2006/relationships/hyperlink" Target="https://10.59.123.66/" TargetMode="External"/><Relationship Id="rId107" Type="http://schemas.openxmlformats.org/officeDocument/2006/relationships/hyperlink" Target="mailto:bcsp.rbmorais@prefeitura.sp.gov.br" TargetMode="External"/><Relationship Id="rId11" Type="http://schemas.openxmlformats.org/officeDocument/2006/relationships/hyperlink" Target="https://10.59.121.66/" TargetMode="External"/><Relationship Id="rId32" Type="http://schemas.openxmlformats.org/officeDocument/2006/relationships/hyperlink" Target="http://10.59.24.114/sws/index.html" TargetMode="External"/><Relationship Id="rId37" Type="http://schemas.openxmlformats.org/officeDocument/2006/relationships/hyperlink" Target="https://10.59.130.194/" TargetMode="External"/><Relationship Id="rId53" Type="http://schemas.openxmlformats.org/officeDocument/2006/relationships/hyperlink" Target="https://10.59.119.70/" TargetMode="External"/><Relationship Id="rId58" Type="http://schemas.openxmlformats.org/officeDocument/2006/relationships/hyperlink" Target="https://10.59.208.100/" TargetMode="External"/><Relationship Id="rId74" Type="http://schemas.openxmlformats.org/officeDocument/2006/relationships/hyperlink" Target="mailto:bcsp.cricardo@prefeitura.sp.gov.br" TargetMode="External"/><Relationship Id="rId79" Type="http://schemas.openxmlformats.org/officeDocument/2006/relationships/hyperlink" Target="mailto:bcsp.everissimo@prefeitura.sp.gov.br" TargetMode="External"/><Relationship Id="rId102" Type="http://schemas.openxmlformats.org/officeDocument/2006/relationships/hyperlink" Target="mailto:bcsp.ppmaia@prefeitura.sp.gov.br" TargetMode="External"/><Relationship Id="rId123" Type="http://schemas.microsoft.com/office/2017/10/relationships/threadedComment" Target="../threadedComments/threadedComment2.xml"/><Relationship Id="rId5" Type="http://schemas.openxmlformats.org/officeDocument/2006/relationships/hyperlink" Target="https://10.59.124.67/" TargetMode="External"/><Relationship Id="rId90" Type="http://schemas.openxmlformats.org/officeDocument/2006/relationships/hyperlink" Target="mailto:bcsp.mrey@prefeitura.sp.gov.br" TargetMode="External"/><Relationship Id="rId95" Type="http://schemas.openxmlformats.org/officeDocument/2006/relationships/hyperlink" Target="mailto:bcsp.nfontes@prefeitura.sp.gov.br" TargetMode="External"/><Relationship Id="rId22" Type="http://schemas.openxmlformats.org/officeDocument/2006/relationships/hyperlink" Target="https://10.59.128.194/" TargetMode="External"/><Relationship Id="rId27" Type="http://schemas.openxmlformats.org/officeDocument/2006/relationships/hyperlink" Target="https://10.59.131.74/" TargetMode="External"/><Relationship Id="rId43" Type="http://schemas.openxmlformats.org/officeDocument/2006/relationships/hyperlink" Target="https://10.59.112.66/" TargetMode="External"/><Relationship Id="rId48" Type="http://schemas.openxmlformats.org/officeDocument/2006/relationships/hyperlink" Target="https://10.59.127.66/" TargetMode="External"/><Relationship Id="rId64" Type="http://schemas.openxmlformats.org/officeDocument/2006/relationships/hyperlink" Target="mailto:bcsp.aalima@prefeitura.sp.gov.br" TargetMode="External"/><Relationship Id="rId69" Type="http://schemas.openxmlformats.org/officeDocument/2006/relationships/hyperlink" Target="mailto:bcsp.amgiacomo@prefeitura.sp.gov.br" TargetMode="External"/><Relationship Id="rId113" Type="http://schemas.openxmlformats.org/officeDocument/2006/relationships/hyperlink" Target="mailto:bcsp.vmorais@prefeitura.sp.gov.br" TargetMode="External"/><Relationship Id="rId118" Type="http://schemas.openxmlformats.org/officeDocument/2006/relationships/hyperlink" Target="https://10.59.1270.66/" TargetMode="External"/><Relationship Id="rId80" Type="http://schemas.openxmlformats.org/officeDocument/2006/relationships/hyperlink" Target="mailto:bcsp.gfreyre@prefeitura.sp.gov.br" TargetMode="External"/><Relationship Id="rId85" Type="http://schemas.openxmlformats.org/officeDocument/2006/relationships/hyperlink" Target="mailto:bcsp.jmvasconcelos@prefeitura.sp.gov.br" TargetMode="External"/><Relationship Id="rId12" Type="http://schemas.openxmlformats.org/officeDocument/2006/relationships/hyperlink" Target="https://10.59.118.122/" TargetMode="External"/><Relationship Id="rId17" Type="http://schemas.openxmlformats.org/officeDocument/2006/relationships/hyperlink" Target="https://10.59.115.194/" TargetMode="External"/><Relationship Id="rId33" Type="http://schemas.openxmlformats.org/officeDocument/2006/relationships/hyperlink" Target="https://10.59.133.66/" TargetMode="External"/><Relationship Id="rId38" Type="http://schemas.openxmlformats.org/officeDocument/2006/relationships/hyperlink" Target="https://10.59.111.194/" TargetMode="External"/><Relationship Id="rId59" Type="http://schemas.openxmlformats.org/officeDocument/2006/relationships/hyperlink" Target="https://10.59.208.104/" TargetMode="External"/><Relationship Id="rId103" Type="http://schemas.openxmlformats.org/officeDocument/2006/relationships/hyperlink" Target="mailto:bcsp.rmenezes@prefeitura.sp.gov.br" TargetMode="External"/><Relationship Id="rId108" Type="http://schemas.openxmlformats.org/officeDocument/2006/relationships/hyperlink" Target="mailto:bcsp.sbholanda@prefeitura.sp.gov.br" TargetMode="External"/><Relationship Id="rId54" Type="http://schemas.openxmlformats.org/officeDocument/2006/relationships/hyperlink" Target="http://10.59.36.6/sws/index.html" TargetMode="External"/><Relationship Id="rId70" Type="http://schemas.openxmlformats.org/officeDocument/2006/relationships/hyperlink" Target="mailto:bcsp.aleite@prefeitura.sp.gov.br" TargetMode="External"/><Relationship Id="rId75" Type="http://schemas.openxmlformats.org/officeDocument/2006/relationships/hyperlink" Target="mailto:bcsp.calves@prefeitura.sp.gov.br" TargetMode="External"/><Relationship Id="rId91" Type="http://schemas.openxmlformats.org/officeDocument/2006/relationships/hyperlink" Target="mailto:bcsp.mschenberg@prefeitura.sp.gov.br" TargetMode="External"/><Relationship Id="rId96" Type="http://schemas.openxmlformats.org/officeDocument/2006/relationships/hyperlink" Target="mailto:bcsp.nsantanna@prefeitura.sp.gov.br" TargetMode="External"/><Relationship Id="rId1" Type="http://schemas.openxmlformats.org/officeDocument/2006/relationships/hyperlink" Target="https://10.59.100.67/" TargetMode="External"/><Relationship Id="rId6" Type="http://schemas.openxmlformats.org/officeDocument/2006/relationships/hyperlink" Target="https://10.59.117.194/" TargetMode="External"/><Relationship Id="rId23" Type="http://schemas.openxmlformats.org/officeDocument/2006/relationships/hyperlink" Target="https://10.95.16.247/" TargetMode="External"/><Relationship Id="rId28" Type="http://schemas.openxmlformats.org/officeDocument/2006/relationships/hyperlink" Target="http://10.59.115.66/sws/index.sws" TargetMode="External"/><Relationship Id="rId49" Type="http://schemas.openxmlformats.org/officeDocument/2006/relationships/hyperlink" Target="https://10.59.136.130/" TargetMode="External"/><Relationship Id="rId114" Type="http://schemas.openxmlformats.org/officeDocument/2006/relationships/hyperlink" Target="mailto:bcsp.vcorrea@prefeitura.sp.gov.br" TargetMode="External"/><Relationship Id="rId119" Type="http://schemas.openxmlformats.org/officeDocument/2006/relationships/hyperlink" Target="https://10.59.120.94/hp/device/DeviceInformation/View" TargetMode="External"/><Relationship Id="rId44" Type="http://schemas.openxmlformats.org/officeDocument/2006/relationships/hyperlink" Target="http://10.59.129.194/" TargetMode="External"/><Relationship Id="rId60" Type="http://schemas.openxmlformats.org/officeDocument/2006/relationships/hyperlink" Target="https://10.59.208.100/" TargetMode="External"/><Relationship Id="rId65" Type="http://schemas.openxmlformats.org/officeDocument/2006/relationships/hyperlink" Target="mailto:bcsp.aazevedo@prefeitura.sp.gov.br" TargetMode="External"/><Relationship Id="rId81" Type="http://schemas.openxmlformats.org/officeDocument/2006/relationships/hyperlink" Target="mailto:bcsp.hcandersen@prefeitura.sp.gov.br" TargetMode="External"/><Relationship Id="rId86" Type="http://schemas.openxmlformats.org/officeDocument/2006/relationships/hyperlink" Target="mailto:bcsp.josepaulopaes@prefeitura.sp.gov.br" TargetMode="External"/><Relationship Id="rId4" Type="http://schemas.openxmlformats.org/officeDocument/2006/relationships/hyperlink" Target="https://10.59.124.66/" TargetMode="External"/><Relationship Id="rId9" Type="http://schemas.openxmlformats.org/officeDocument/2006/relationships/hyperlink" Target="https://10.59.125.194/" TargetMode="External"/><Relationship Id="rId13" Type="http://schemas.openxmlformats.org/officeDocument/2006/relationships/hyperlink" Target="https://10.59.118.123/" TargetMode="External"/><Relationship Id="rId18" Type="http://schemas.openxmlformats.org/officeDocument/2006/relationships/hyperlink" Target="https://10.59.116.66/" TargetMode="External"/><Relationship Id="rId39" Type="http://schemas.openxmlformats.org/officeDocument/2006/relationships/hyperlink" Target="https://10.59.135.66/" TargetMode="External"/><Relationship Id="rId109" Type="http://schemas.openxmlformats.org/officeDocument/2006/relationships/hyperlink" Target="mailto:bcsp.sorthof@prefeitura.sp.gov.br" TargetMode="External"/><Relationship Id="rId34" Type="http://schemas.openxmlformats.org/officeDocument/2006/relationships/hyperlink" Target="https://10.59.130.66/" TargetMode="External"/><Relationship Id="rId50" Type="http://schemas.openxmlformats.org/officeDocument/2006/relationships/hyperlink" Target="https://10.59.125.66/" TargetMode="External"/><Relationship Id="rId55" Type="http://schemas.openxmlformats.org/officeDocument/2006/relationships/hyperlink" Target="https://10.59.208.9/" TargetMode="External"/><Relationship Id="rId76" Type="http://schemas.openxmlformats.org/officeDocument/2006/relationships/hyperlink" Target="mailto:bcsp.ccastelo@prefeitura.sp.gov.br" TargetMode="External"/><Relationship Id="rId97" Type="http://schemas.openxmlformats.org/officeDocument/2006/relationships/hyperlink" Target="mailto:bcsp.pjanchieta@prefeitura.sp.gov.br" TargetMode="External"/><Relationship Id="rId104" Type="http://schemas.openxmlformats.org/officeDocument/2006/relationships/hyperlink" Target="mailto:bcsp.rbopp@prefeitura.sp.gov.br" TargetMode="External"/><Relationship Id="rId120" Type="http://schemas.openxmlformats.org/officeDocument/2006/relationships/drawing" Target="../drawings/drawing4.xml"/><Relationship Id="rId7" Type="http://schemas.openxmlformats.org/officeDocument/2006/relationships/hyperlink" Target="https://10.59.120.194/" TargetMode="External"/><Relationship Id="rId71" Type="http://schemas.openxmlformats.org/officeDocument/2006/relationships/hyperlink" Target="mailto:bcsp.belmonte@prefeitura.sp.gov.br" TargetMode="External"/><Relationship Id="rId92" Type="http://schemas.openxmlformats.org/officeDocument/2006/relationships/hyperlink" Target="mailto:bcsp.mdelpicchia@prefeitura.sp.gov.br" TargetMode="External"/><Relationship Id="rId2" Type="http://schemas.openxmlformats.org/officeDocument/2006/relationships/hyperlink" Target="https://10.59.132.194/" TargetMode="External"/><Relationship Id="rId29" Type="http://schemas.openxmlformats.org/officeDocument/2006/relationships/hyperlink" Target="https://10.59.208.8/" TargetMode="External"/><Relationship Id="rId24" Type="http://schemas.openxmlformats.org/officeDocument/2006/relationships/hyperlink" Target="https://10.59.131.194/" TargetMode="External"/><Relationship Id="rId40" Type="http://schemas.openxmlformats.org/officeDocument/2006/relationships/hyperlink" Target="https://10.59.105.3/" TargetMode="External"/><Relationship Id="rId45" Type="http://schemas.openxmlformats.org/officeDocument/2006/relationships/hyperlink" Target="https://10.59.129.195/" TargetMode="External"/><Relationship Id="rId66" Type="http://schemas.openxmlformats.org/officeDocument/2006/relationships/hyperlink" Target="mailto:bcsp.aguerra@frefeitura.sp.gov.br" TargetMode="External"/><Relationship Id="rId87" Type="http://schemas.openxmlformats.org/officeDocument/2006/relationships/hyperlink" Target="mailto:bcsp.jralvares@prefeitura.sp.gov.br" TargetMode="External"/><Relationship Id="rId110" Type="http://schemas.openxmlformats.org/officeDocument/2006/relationships/hyperlink" Target="mailto:bcsp.tcandrade@prefeitura.sp.gov.br" TargetMode="External"/><Relationship Id="rId115" Type="http://schemas.openxmlformats.org/officeDocument/2006/relationships/hyperlink" Target="https://10.59.130.100/" TargetMode="External"/><Relationship Id="rId61" Type="http://schemas.openxmlformats.org/officeDocument/2006/relationships/hyperlink" Target="https://10.59.134.69/" TargetMode="External"/><Relationship Id="rId82" Type="http://schemas.openxmlformats.org/officeDocument/2006/relationships/hyperlink" Target="mailto:bcsp.hsilveira@prefeitura.sp.gov.br" TargetMode="External"/><Relationship Id="rId19" Type="http://schemas.openxmlformats.org/officeDocument/2006/relationships/hyperlink" Target="https://10.59.121.194/" TargetMode="External"/><Relationship Id="rId14" Type="http://schemas.openxmlformats.org/officeDocument/2006/relationships/hyperlink" Target="https://10.59.118.194/" TargetMode="External"/><Relationship Id="rId30" Type="http://schemas.openxmlformats.org/officeDocument/2006/relationships/hyperlink" Target="http://10.59.119.194/sws/index.sws" TargetMode="External"/><Relationship Id="rId35" Type="http://schemas.openxmlformats.org/officeDocument/2006/relationships/hyperlink" Target="https://10.59.128.85/" TargetMode="External"/><Relationship Id="rId56" Type="http://schemas.openxmlformats.org/officeDocument/2006/relationships/hyperlink" Target="https://10.59.208.7/" TargetMode="External"/><Relationship Id="rId77" Type="http://schemas.openxmlformats.org/officeDocument/2006/relationships/hyperlink" Target="mailto:bcsp.clispector@prefeitura.sp.gov.br" TargetMode="External"/><Relationship Id="rId100" Type="http://schemas.openxmlformats.org/officeDocument/2006/relationships/hyperlink" Target="mailto:bcsp.psetubal@prefeitura.sp.gov.br" TargetMode="External"/><Relationship Id="rId105" Type="http://schemas.openxmlformats.org/officeDocument/2006/relationships/hyperlink" Target="mailto:bcsp.rramos@prefeitura.sp.gov.br" TargetMode="External"/><Relationship Id="rId8" Type="http://schemas.openxmlformats.org/officeDocument/2006/relationships/hyperlink" Target="https://10.59.122.66/" TargetMode="External"/><Relationship Id="rId51" Type="http://schemas.openxmlformats.org/officeDocument/2006/relationships/hyperlink" Target="http://10.59.123.194/sws/index.sws" TargetMode="External"/><Relationship Id="rId72" Type="http://schemas.openxmlformats.org/officeDocument/2006/relationships/hyperlink" Target="mailto:bcsp.bbroca@prefeitura.sp.gov.br" TargetMode="External"/><Relationship Id="rId93" Type="http://schemas.openxmlformats.org/officeDocument/2006/relationships/hyperlink" Target="mailto:bcsp.msantos@prefeitura.sp.gov.br" TargetMode="External"/><Relationship Id="rId98" Type="http://schemas.openxmlformats.org/officeDocument/2006/relationships/hyperlink" Target="mailto:bcsp.pduarte@prefeitura.sp.gov.br" TargetMode="External"/><Relationship Id="rId121" Type="http://schemas.openxmlformats.org/officeDocument/2006/relationships/vmlDrawing" Target="../drawings/vmlDrawing3.vml"/><Relationship Id="rId3" Type="http://schemas.openxmlformats.org/officeDocument/2006/relationships/hyperlink" Target="https://10.59.134.66/" TargetMode="External"/><Relationship Id="rId25" Type="http://schemas.openxmlformats.org/officeDocument/2006/relationships/hyperlink" Target="https://10.59.101.130/" TargetMode="External"/><Relationship Id="rId46" Type="http://schemas.openxmlformats.org/officeDocument/2006/relationships/hyperlink" Target="http://10.59.126.89/sws/index.sws" TargetMode="External"/><Relationship Id="rId67" Type="http://schemas.openxmlformats.org/officeDocument/2006/relationships/hyperlink" Target="mailto:bcsp.aamaral@prefeitura.sp.gov.br" TargetMode="External"/><Relationship Id="rId116" Type="http://schemas.openxmlformats.org/officeDocument/2006/relationships/hyperlink" Target="https://10.59.208.101/" TargetMode="External"/><Relationship Id="rId20" Type="http://schemas.openxmlformats.org/officeDocument/2006/relationships/hyperlink" Target="https://10.59.112.194/" TargetMode="External"/><Relationship Id="rId41" Type="http://schemas.openxmlformats.org/officeDocument/2006/relationships/hyperlink" Target="https://10.59.105.4/" TargetMode="External"/><Relationship Id="rId62" Type="http://schemas.openxmlformats.org/officeDocument/2006/relationships/hyperlink" Target="mailto:bcsp.aschmidt@prefeitura.sp.gov.br" TargetMode="External"/><Relationship Id="rId83" Type="http://schemas.openxmlformats.org/officeDocument/2006/relationships/hyperlink" Target="mailto:bcsp.jahaddad@prefeitura.sp.gov.br" TargetMode="External"/><Relationship Id="rId88" Type="http://schemas.openxmlformats.org/officeDocument/2006/relationships/hyperlink" Target="mailto:bcsp.lenyrafraccaroli@prefeitura.sp.gov.br" TargetMode="External"/><Relationship Id="rId111" Type="http://schemas.openxmlformats.org/officeDocument/2006/relationships/hyperlink" Target="mailto:bcsp.vcarvalho@PREFEITURA.SP.GOV.BR" TargetMode="External"/><Relationship Id="rId15" Type="http://schemas.openxmlformats.org/officeDocument/2006/relationships/hyperlink" Target="https://10.59.129.66/" TargetMode="External"/><Relationship Id="rId36" Type="http://schemas.openxmlformats.org/officeDocument/2006/relationships/hyperlink" Target="https://10.59.127.194/" TargetMode="External"/><Relationship Id="rId57" Type="http://schemas.openxmlformats.org/officeDocument/2006/relationships/hyperlink" Target="http://10.59.208.102/" TargetMode="External"/><Relationship Id="rId106" Type="http://schemas.openxmlformats.org/officeDocument/2006/relationships/hyperlink" Target="mailto:bcsp.rsantos@prefeitura.sp.gov.br" TargetMode="External"/><Relationship Id="rId10" Type="http://schemas.openxmlformats.org/officeDocument/2006/relationships/hyperlink" Target="https://10.59.114.195/" TargetMode="External"/><Relationship Id="rId31" Type="http://schemas.openxmlformats.org/officeDocument/2006/relationships/hyperlink" Target="https://10.59.133.195/" TargetMode="External"/><Relationship Id="rId52" Type="http://schemas.openxmlformats.org/officeDocument/2006/relationships/hyperlink" Target="https://10.59.134.194/" TargetMode="External"/><Relationship Id="rId73" Type="http://schemas.openxmlformats.org/officeDocument/2006/relationships/hyperlink" Target="mailto:bcsp.ccesar@prefeitura.sp.gov.br" TargetMode="External"/><Relationship Id="rId78" Type="http://schemas.openxmlformats.org/officeDocument/2006/relationships/hyperlink" Target="mailto:bcsp.ccoralina@prefeitura.sp.gov.br" TargetMode="External"/><Relationship Id="rId94" Type="http://schemas.openxmlformats.org/officeDocument/2006/relationships/hyperlink" Target="mailto:bcsp.mlobato@prefeitura.sp.gov.br" TargetMode="External"/><Relationship Id="rId99" Type="http://schemas.openxmlformats.org/officeDocument/2006/relationships/hyperlink" Target="mailto:bcsp.pmilliet@prefeitura.sp.gov.br" TargetMode="External"/><Relationship Id="rId101" Type="http://schemas.openxmlformats.org/officeDocument/2006/relationships/hyperlink" Target="mailto:bcsp.pnava@prefeitura.sp.gov.br" TargetMode="External"/><Relationship Id="rId12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10.59.208.183/tihd/plugins/dashboard/front/metrics/index.php" TargetMode="External"/><Relationship Id="rId13" Type="http://schemas.openxmlformats.org/officeDocument/2006/relationships/hyperlink" Target="https://grupotecnoset.custhelp.com/app/home" TargetMode="External"/><Relationship Id="rId18" Type="http://schemas.openxmlformats.org/officeDocument/2006/relationships/hyperlink" Target="mailto:wermerson@prefeitura.sp.gov.br" TargetMode="External"/><Relationship Id="rId26" Type="http://schemas.openxmlformats.org/officeDocument/2006/relationships/drawing" Target="../drawings/drawing5.xml"/><Relationship Id="rId3" Type="http://schemas.openxmlformats.org/officeDocument/2006/relationships/hyperlink" Target="http://10.59.208.184/zabbix/" TargetMode="External"/><Relationship Id="rId21" Type="http://schemas.openxmlformats.org/officeDocument/2006/relationships/hyperlink" Target="https://www.cervelloesm.com.br/Prodam/?page=aHR0cHM6Ly93d3cuY2VydmVsbG9lc20uY29tLmJyL1Byb2RhbS9Qb3J0YWwvSG9tZQ%3D%3D" TargetMode="External"/><Relationship Id="rId7" Type="http://schemas.openxmlformats.org/officeDocument/2006/relationships/hyperlink" Target="mailto:dpc_vsl@prodam.sp.gov.br" TargetMode="External"/><Relationship Id="rId12" Type="http://schemas.openxmlformats.org/officeDocument/2006/relationships/hyperlink" Target="https://tecnologia.prefeitura.sp.gov.br/?page_id=8784" TargetMode="External"/><Relationship Id="rId17" Type="http://schemas.openxmlformats.org/officeDocument/2006/relationships/hyperlink" Target="https://chamados.grupotorino.com.br/" TargetMode="External"/><Relationship Id="rId25" Type="http://schemas.openxmlformats.org/officeDocument/2006/relationships/hyperlink" Target="http://10.59.208.193:8069/" TargetMode="External"/><Relationship Id="rId2" Type="http://schemas.openxmlformats.org/officeDocument/2006/relationships/hyperlink" Target="http://chamadosti.csmb.smc/tihd/" TargetMode="External"/><Relationship Id="rId16" Type="http://schemas.openxmlformats.org/officeDocument/2006/relationships/hyperlink" Target="mailto:suporte@grupotorino.com.br" TargetMode="External"/><Relationship Id="rId20" Type="http://schemas.openxmlformats.org/officeDocument/2006/relationships/hyperlink" Target="http://bibliotecacircula.prefeitura.sp.gov.br/alexandriaws/" TargetMode="External"/><Relationship Id="rId1" Type="http://schemas.openxmlformats.org/officeDocument/2006/relationships/hyperlink" Target="mailto:lhilario@prefeitura.sp.gov.br" TargetMode="External"/><Relationship Id="rId6" Type="http://schemas.openxmlformats.org/officeDocument/2006/relationships/hyperlink" Target="mailto:smcsei@PREFEITURA.SP.GOV.BR" TargetMode="External"/><Relationship Id="rId11" Type="http://schemas.openxmlformats.org/officeDocument/2006/relationships/hyperlink" Target="about:blank" TargetMode="External"/><Relationship Id="rId24" Type="http://schemas.openxmlformats.org/officeDocument/2006/relationships/hyperlink" Target="../../../../../../:f:/g/personal/brunosantos_prefeitura_sp_gov_br/EhkCLBjDvWxKh2PloZyAS_wB1HP-5J-QDVN6tI1FVLWjvA?e=ebYAuG" TargetMode="External"/><Relationship Id="rId5" Type="http://schemas.openxmlformats.org/officeDocument/2006/relationships/hyperlink" Target="http://10.59.208.127:3000/login" TargetMode="External"/><Relationship Id="rId15" Type="http://schemas.openxmlformats.org/officeDocument/2006/relationships/hyperlink" Target="https://docs.google.com/document/d/13ZEoQ6gTybIFiaNIfrSx7SAsCwHmOIbm/edit" TargetMode="External"/><Relationship Id="rId23" Type="http://schemas.openxmlformats.org/officeDocument/2006/relationships/hyperlink" Target="http://smcgbsbd02/e_sei/Default_Usuario.aspx" TargetMode="External"/><Relationship Id="rId10" Type="http://schemas.openxmlformats.org/officeDocument/2006/relationships/hyperlink" Target="mailto:brunosantos@prefeitura.sp.gov.br" TargetMode="External"/><Relationship Id="rId19" Type="http://schemas.openxmlformats.org/officeDocument/2006/relationships/hyperlink" Target="http://smcatendimento.prefeitura.sp.gov.br/" TargetMode="External"/><Relationship Id="rId4" Type="http://schemas.openxmlformats.org/officeDocument/2006/relationships/hyperlink" Target="https://nam10.safelinks.protection.outlook.com/?url=https%3A%2F%2Fcorreio.prefeitura.sp.gov.br%2Fowa%2Fauth%2Fexpiredpassword.aspx&amp;data=04%7C01%7Cbrunosantos%40PREFEITURA.SP.GOV.BR%7Ceef9c139a8df4eb554b408d93fc4a8f5%7Cf398df9cfd0c4829a003c770a1c4a063%7C0%7C0%7C637610936138834709%7CUnknown%7CTWFpbGZsb3d8eyJWIjoiMC4wLjAwMDAiLCJQIjoiV2luMzIiLCJBTiI6Ik1haWwiLCJXVCI6Mn0%3D%7C1000&amp;sdata=5nNW0l6o8GQKp8IreuiwQiXZrkuIBMDhz4u3cgJYeqc%3D&amp;reserved=0" TargetMode="External"/><Relationship Id="rId9" Type="http://schemas.openxmlformats.org/officeDocument/2006/relationships/hyperlink" Target="https://ux.simpress.com.br/" TargetMode="External"/><Relationship Id="rId14" Type="http://schemas.openxmlformats.org/officeDocument/2006/relationships/hyperlink" Target="https://docs.google.com/document/d/17UIs0NiJb2Rn_MTArUTKIRiDwNcKtYLJ/edit?usp=sharing&amp;ouid=114177695264244472337&amp;rtpof=true&amp;sd=true" TargetMode="External"/><Relationship Id="rId22" Type="http://schemas.openxmlformats.org/officeDocument/2006/relationships/hyperlink" Target="http://sf9433.app.prodam/intranet/forms_apresentacao/cac/frm_cac_01_login.aspx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573B-9E40-4B3C-B7CD-15EEE59D66DD}">
  <sheetPr codeName="Planilha1"/>
  <dimension ref="A1:X94"/>
  <sheetViews>
    <sheetView workbookViewId="0">
      <selection activeCell="E10" sqref="E10"/>
    </sheetView>
  </sheetViews>
  <sheetFormatPr defaultRowHeight="12.75"/>
  <cols>
    <col min="1" max="1" width="49.7109375" bestFit="1" customWidth="1"/>
    <col min="2" max="2" width="21.85546875" bestFit="1" customWidth="1"/>
    <col min="3" max="3" width="36.85546875" bestFit="1" customWidth="1"/>
    <col min="4" max="4" width="23" bestFit="1" customWidth="1"/>
    <col min="5" max="5" width="15.5703125" bestFit="1" customWidth="1"/>
    <col min="6" max="6" width="15" bestFit="1" customWidth="1"/>
    <col min="7" max="7" width="40" bestFit="1" customWidth="1"/>
    <col min="8" max="8" width="29.28515625" bestFit="1" customWidth="1"/>
    <col min="9" max="9" width="29.140625" bestFit="1" customWidth="1"/>
    <col min="10" max="10" width="36" bestFit="1" customWidth="1"/>
    <col min="11" max="11" width="22.140625" bestFit="1" customWidth="1"/>
    <col min="12" max="12" width="49.42578125" bestFit="1" customWidth="1"/>
    <col min="13" max="13" width="14.7109375" bestFit="1" customWidth="1"/>
    <col min="14" max="18" width="12.28515625" bestFit="1" customWidth="1"/>
    <col min="19" max="22" width="0" hidden="1" customWidth="1"/>
    <col min="23" max="23" width="25.7109375" customWidth="1"/>
  </cols>
  <sheetData>
    <row r="1" spans="1:2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4">
      <c r="A2">
        <v>45108</v>
      </c>
      <c r="W2" t="s">
        <v>18</v>
      </c>
      <c r="X2" t="s">
        <v>19</v>
      </c>
    </row>
    <row r="3" spans="1:24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  <c r="G3" t="s">
        <v>26</v>
      </c>
      <c r="H3" t="s">
        <v>27</v>
      </c>
      <c r="I3" t="s">
        <v>28</v>
      </c>
      <c r="J3" t="s">
        <v>29</v>
      </c>
      <c r="K3" t="s">
        <v>30</v>
      </c>
      <c r="L3" t="s">
        <v>31</v>
      </c>
      <c r="M3" t="s">
        <v>32</v>
      </c>
      <c r="W3" t="s">
        <v>33</v>
      </c>
      <c r="X3" t="s">
        <v>34</v>
      </c>
    </row>
    <row r="4" spans="1:24">
      <c r="A4" t="s">
        <v>35</v>
      </c>
      <c r="B4">
        <v>6557309</v>
      </c>
      <c r="C4" t="s">
        <v>36</v>
      </c>
      <c r="D4" t="s">
        <v>37</v>
      </c>
      <c r="E4">
        <v>0</v>
      </c>
      <c r="F4">
        <v>2</v>
      </c>
      <c r="G4">
        <v>0</v>
      </c>
      <c r="H4">
        <v>3</v>
      </c>
      <c r="I4">
        <v>4</v>
      </c>
      <c r="J4">
        <v>0</v>
      </c>
      <c r="K4">
        <v>9</v>
      </c>
      <c r="L4">
        <v>0</v>
      </c>
      <c r="W4" t="s">
        <v>38</v>
      </c>
      <c r="X4" t="s">
        <v>39</v>
      </c>
    </row>
    <row r="5" spans="1:24">
      <c r="A5" t="s">
        <v>35</v>
      </c>
      <c r="B5">
        <v>6302840</v>
      </c>
      <c r="C5" t="s">
        <v>40</v>
      </c>
      <c r="D5" t="s">
        <v>41</v>
      </c>
      <c r="E5">
        <v>0</v>
      </c>
      <c r="W5" t="s">
        <v>42</v>
      </c>
      <c r="X5" t="s">
        <v>43</v>
      </c>
    </row>
    <row r="6" spans="1:24">
      <c r="A6" t="s">
        <v>35</v>
      </c>
      <c r="B6">
        <v>7409397</v>
      </c>
      <c r="C6" t="s">
        <v>44</v>
      </c>
      <c r="D6" t="s">
        <v>41</v>
      </c>
      <c r="E6">
        <v>0</v>
      </c>
      <c r="W6" t="s">
        <v>45</v>
      </c>
      <c r="X6" t="s">
        <v>46</v>
      </c>
    </row>
    <row r="7" spans="1:24">
      <c r="A7" t="s">
        <v>35</v>
      </c>
      <c r="B7">
        <v>5430470</v>
      </c>
      <c r="C7" t="s">
        <v>47</v>
      </c>
      <c r="D7" t="s">
        <v>41</v>
      </c>
      <c r="E7">
        <v>0</v>
      </c>
      <c r="W7" t="s">
        <v>48</v>
      </c>
      <c r="X7" t="s">
        <v>49</v>
      </c>
    </row>
    <row r="8" spans="1:24">
      <c r="A8" t="s">
        <v>18</v>
      </c>
      <c r="B8">
        <v>9226796</v>
      </c>
      <c r="C8" t="s">
        <v>50</v>
      </c>
      <c r="D8" t="s">
        <v>51</v>
      </c>
      <c r="E8">
        <v>0</v>
      </c>
      <c r="W8" t="s">
        <v>52</v>
      </c>
      <c r="X8" t="s">
        <v>53</v>
      </c>
    </row>
    <row r="9" spans="1:24">
      <c r="B9">
        <v>6979009</v>
      </c>
      <c r="C9" t="s">
        <v>54</v>
      </c>
      <c r="D9" t="s">
        <v>37</v>
      </c>
      <c r="E9">
        <v>0</v>
      </c>
      <c r="W9" t="s">
        <v>55</v>
      </c>
      <c r="X9" t="s">
        <v>56</v>
      </c>
    </row>
    <row r="10" spans="1:24">
      <c r="A10" t="s">
        <v>18</v>
      </c>
      <c r="B10">
        <v>7995989</v>
      </c>
      <c r="C10" t="s">
        <v>19</v>
      </c>
      <c r="D10" t="s">
        <v>51</v>
      </c>
      <c r="E10">
        <v>1</v>
      </c>
      <c r="W10" t="s">
        <v>57</v>
      </c>
      <c r="X10" t="s">
        <v>58</v>
      </c>
    </row>
    <row r="11" spans="1:24">
      <c r="A11" t="s">
        <v>35</v>
      </c>
      <c r="B11">
        <v>6256775</v>
      </c>
      <c r="C11" t="s">
        <v>59</v>
      </c>
      <c r="D11" t="s">
        <v>41</v>
      </c>
      <c r="E11">
        <v>0</v>
      </c>
      <c r="W11" t="s">
        <v>60</v>
      </c>
      <c r="X11" t="s">
        <v>61</v>
      </c>
    </row>
    <row r="12" spans="1:24">
      <c r="A12" t="s">
        <v>62</v>
      </c>
      <c r="B12">
        <v>6030190</v>
      </c>
      <c r="C12" t="s">
        <v>63</v>
      </c>
      <c r="D12" t="s">
        <v>37</v>
      </c>
      <c r="E12">
        <v>0</v>
      </c>
      <c r="W12" t="s">
        <v>64</v>
      </c>
      <c r="X12" t="s">
        <v>65</v>
      </c>
    </row>
    <row r="13" spans="1:24">
      <c r="W13" t="s">
        <v>66</v>
      </c>
      <c r="X13" t="s">
        <v>67</v>
      </c>
    </row>
    <row r="14" spans="1:24">
      <c r="A14" t="s">
        <v>33</v>
      </c>
      <c r="B14">
        <v>6263178</v>
      </c>
      <c r="C14" t="s">
        <v>34</v>
      </c>
      <c r="D14" t="s">
        <v>41</v>
      </c>
      <c r="E14">
        <v>1</v>
      </c>
      <c r="F14">
        <v>0</v>
      </c>
      <c r="G14">
        <v>0</v>
      </c>
      <c r="H14">
        <v>0</v>
      </c>
      <c r="I14">
        <v>3</v>
      </c>
      <c r="J14">
        <v>0</v>
      </c>
      <c r="K14">
        <v>3</v>
      </c>
      <c r="L14">
        <v>0</v>
      </c>
      <c r="W14" t="s">
        <v>68</v>
      </c>
      <c r="X14" t="s">
        <v>69</v>
      </c>
    </row>
    <row r="15" spans="1:24">
      <c r="A15" t="s">
        <v>33</v>
      </c>
      <c r="B15">
        <v>6302122</v>
      </c>
      <c r="C15" t="s">
        <v>70</v>
      </c>
      <c r="D15" t="s">
        <v>41</v>
      </c>
      <c r="E15">
        <v>0</v>
      </c>
      <c r="W15" t="s">
        <v>71</v>
      </c>
      <c r="X15" t="s">
        <v>72</v>
      </c>
    </row>
    <row r="16" spans="1:24">
      <c r="A16" t="s">
        <v>33</v>
      </c>
      <c r="B16">
        <v>5919517</v>
      </c>
      <c r="C16" t="s">
        <v>73</v>
      </c>
      <c r="D16" t="s">
        <v>41</v>
      </c>
      <c r="E16">
        <v>0</v>
      </c>
      <c r="W16" t="s">
        <v>74</v>
      </c>
      <c r="X16" t="s">
        <v>75</v>
      </c>
    </row>
    <row r="17" spans="1:24">
      <c r="W17" t="s">
        <v>76</v>
      </c>
      <c r="X17" t="s">
        <v>77</v>
      </c>
    </row>
    <row r="18" spans="1:24">
      <c r="A18" t="s">
        <v>38</v>
      </c>
      <c r="B18">
        <v>5917611</v>
      </c>
      <c r="C18" t="s">
        <v>78</v>
      </c>
      <c r="D18" t="s">
        <v>41</v>
      </c>
      <c r="E18">
        <v>0</v>
      </c>
      <c r="F18">
        <v>1</v>
      </c>
      <c r="G18">
        <v>1</v>
      </c>
      <c r="H18">
        <v>5</v>
      </c>
      <c r="I18">
        <v>2</v>
      </c>
      <c r="J18">
        <v>0</v>
      </c>
      <c r="K18">
        <v>9</v>
      </c>
      <c r="L18">
        <v>0</v>
      </c>
      <c r="W18" t="s">
        <v>79</v>
      </c>
      <c r="X18" t="s">
        <v>80</v>
      </c>
    </row>
    <row r="19" spans="1:24">
      <c r="A19" t="s">
        <v>38</v>
      </c>
      <c r="B19">
        <v>6045120</v>
      </c>
      <c r="C19" t="s">
        <v>81</v>
      </c>
      <c r="D19" t="s">
        <v>37</v>
      </c>
      <c r="E19">
        <v>0</v>
      </c>
    </row>
    <row r="20" spans="1:24">
      <c r="A20" t="s">
        <v>38</v>
      </c>
      <c r="B20">
        <v>6037861</v>
      </c>
      <c r="C20" t="s">
        <v>82</v>
      </c>
      <c r="D20" t="s">
        <v>37</v>
      </c>
      <c r="E20">
        <v>0</v>
      </c>
    </row>
    <row r="21" spans="1:24">
      <c r="A21" t="s">
        <v>38</v>
      </c>
      <c r="B21">
        <v>4771834</v>
      </c>
      <c r="C21" t="s">
        <v>83</v>
      </c>
      <c r="D21" t="s">
        <v>41</v>
      </c>
      <c r="E21">
        <v>0</v>
      </c>
    </row>
    <row r="22" spans="1:24">
      <c r="A22" t="s">
        <v>38</v>
      </c>
      <c r="B22">
        <v>7425945</v>
      </c>
      <c r="C22" t="s">
        <v>84</v>
      </c>
      <c r="D22" t="s">
        <v>37</v>
      </c>
      <c r="E22">
        <v>0</v>
      </c>
    </row>
    <row r="23" spans="1:24">
      <c r="A23" t="s">
        <v>38</v>
      </c>
      <c r="B23">
        <v>7744676</v>
      </c>
      <c r="C23" t="s">
        <v>85</v>
      </c>
      <c r="D23" t="s">
        <v>37</v>
      </c>
      <c r="E23">
        <v>0</v>
      </c>
    </row>
    <row r="24" spans="1:24">
      <c r="A24" t="s">
        <v>38</v>
      </c>
      <c r="B24">
        <v>6492126</v>
      </c>
      <c r="C24" t="s">
        <v>86</v>
      </c>
      <c r="D24" t="s">
        <v>37</v>
      </c>
      <c r="E24">
        <v>0</v>
      </c>
    </row>
    <row r="25" spans="1:24">
      <c r="A25" t="s">
        <v>38</v>
      </c>
      <c r="B25">
        <v>5675642</v>
      </c>
      <c r="C25" t="s">
        <v>87</v>
      </c>
      <c r="D25" t="s">
        <v>88</v>
      </c>
      <c r="E25">
        <v>0</v>
      </c>
    </row>
    <row r="26" spans="1:24">
      <c r="A26" t="s">
        <v>38</v>
      </c>
      <c r="B26">
        <v>7786271</v>
      </c>
      <c r="C26" t="s">
        <v>39</v>
      </c>
      <c r="D26" t="s">
        <v>51</v>
      </c>
      <c r="E26">
        <v>1</v>
      </c>
    </row>
    <row r="28" spans="1:24">
      <c r="A28" t="s">
        <v>42</v>
      </c>
      <c r="B28">
        <v>6251200</v>
      </c>
      <c r="C28" t="s">
        <v>43</v>
      </c>
      <c r="D28" t="s">
        <v>51</v>
      </c>
      <c r="E28">
        <v>1</v>
      </c>
      <c r="F28">
        <v>3</v>
      </c>
      <c r="G28">
        <v>0</v>
      </c>
      <c r="H28">
        <v>2</v>
      </c>
      <c r="I28">
        <v>1</v>
      </c>
      <c r="J28">
        <v>0</v>
      </c>
      <c r="K28">
        <v>6</v>
      </c>
      <c r="L28">
        <v>2</v>
      </c>
    </row>
    <row r="29" spans="1:24">
      <c r="A29" t="s">
        <v>42</v>
      </c>
      <c r="B29">
        <v>5887321</v>
      </c>
      <c r="C29" t="s">
        <v>89</v>
      </c>
      <c r="D29" t="s">
        <v>37</v>
      </c>
      <c r="E29">
        <v>0</v>
      </c>
    </row>
    <row r="30" spans="1:24">
      <c r="A30" t="s">
        <v>42</v>
      </c>
      <c r="B30">
        <v>5209081</v>
      </c>
      <c r="C30" t="s">
        <v>90</v>
      </c>
      <c r="D30" t="s">
        <v>41</v>
      </c>
    </row>
    <row r="31" spans="1:24">
      <c r="A31" t="s">
        <v>45</v>
      </c>
      <c r="B31">
        <v>6017932</v>
      </c>
      <c r="C31" t="s">
        <v>46</v>
      </c>
      <c r="D31" t="s">
        <v>51</v>
      </c>
      <c r="E31">
        <v>1</v>
      </c>
    </row>
    <row r="32" spans="1:24">
      <c r="A32" t="s">
        <v>48</v>
      </c>
      <c r="B32">
        <v>7786638</v>
      </c>
      <c r="C32" t="s">
        <v>49</v>
      </c>
      <c r="D32" t="s">
        <v>51</v>
      </c>
      <c r="E32">
        <v>1</v>
      </c>
    </row>
    <row r="33" spans="1:12">
      <c r="A33" t="s">
        <v>48</v>
      </c>
      <c r="B33">
        <v>8959889</v>
      </c>
      <c r="C33" t="s">
        <v>91</v>
      </c>
      <c r="D33" t="s">
        <v>37</v>
      </c>
      <c r="E33">
        <v>0</v>
      </c>
    </row>
    <row r="35" spans="1:12">
      <c r="A35" t="s">
        <v>52</v>
      </c>
      <c r="B35">
        <v>7787171</v>
      </c>
      <c r="C35" t="s">
        <v>53</v>
      </c>
      <c r="D35" t="s">
        <v>51</v>
      </c>
      <c r="E35">
        <v>1</v>
      </c>
      <c r="F35">
        <v>4</v>
      </c>
      <c r="G35">
        <v>1</v>
      </c>
      <c r="H35">
        <v>0</v>
      </c>
      <c r="I35">
        <v>0</v>
      </c>
      <c r="J35">
        <v>0</v>
      </c>
      <c r="K35">
        <v>5</v>
      </c>
      <c r="L35">
        <v>0</v>
      </c>
    </row>
    <row r="36" spans="1:12">
      <c r="A36" t="s">
        <v>92</v>
      </c>
      <c r="B36">
        <v>9226575</v>
      </c>
      <c r="C36" t="s">
        <v>93</v>
      </c>
      <c r="D36" t="s">
        <v>51</v>
      </c>
      <c r="E36">
        <v>0</v>
      </c>
    </row>
    <row r="37" spans="1:12">
      <c r="A37" t="s">
        <v>92</v>
      </c>
      <c r="B37">
        <v>8552096</v>
      </c>
      <c r="C37" t="s">
        <v>94</v>
      </c>
      <c r="D37" t="s">
        <v>51</v>
      </c>
      <c r="E37">
        <v>0</v>
      </c>
    </row>
    <row r="38" spans="1:12">
      <c r="A38" t="s">
        <v>92</v>
      </c>
      <c r="B38">
        <v>8581363</v>
      </c>
      <c r="C38" t="s">
        <v>95</v>
      </c>
      <c r="D38" t="s">
        <v>51</v>
      </c>
      <c r="E38">
        <v>0</v>
      </c>
    </row>
    <row r="39" spans="1:12">
      <c r="A39" t="s">
        <v>96</v>
      </c>
      <c r="B39">
        <v>7142765</v>
      </c>
      <c r="C39" t="s">
        <v>97</v>
      </c>
      <c r="D39" t="s">
        <v>88</v>
      </c>
      <c r="E39">
        <v>0</v>
      </c>
    </row>
    <row r="41" spans="1:12">
      <c r="A41" t="s">
        <v>55</v>
      </c>
      <c r="B41">
        <v>8101329</v>
      </c>
      <c r="C41" t="s">
        <v>56</v>
      </c>
      <c r="D41" t="s">
        <v>88</v>
      </c>
      <c r="E41">
        <v>1</v>
      </c>
      <c r="F41">
        <v>0</v>
      </c>
      <c r="G41">
        <v>2</v>
      </c>
      <c r="H41">
        <v>1</v>
      </c>
      <c r="I41">
        <v>0</v>
      </c>
      <c r="J41">
        <v>0</v>
      </c>
      <c r="K41">
        <v>3</v>
      </c>
      <c r="L41">
        <v>0</v>
      </c>
    </row>
    <row r="42" spans="1:12">
      <c r="A42" t="s">
        <v>55</v>
      </c>
      <c r="B42">
        <v>7288760</v>
      </c>
      <c r="C42" t="s">
        <v>98</v>
      </c>
      <c r="D42" t="s">
        <v>88</v>
      </c>
      <c r="E42">
        <v>0</v>
      </c>
    </row>
    <row r="43" spans="1:12">
      <c r="A43" t="s">
        <v>55</v>
      </c>
      <c r="B43">
        <v>6035167</v>
      </c>
      <c r="C43" t="s">
        <v>99</v>
      </c>
      <c r="D43" t="s">
        <v>37</v>
      </c>
      <c r="E43">
        <v>0</v>
      </c>
    </row>
    <row r="45" spans="1:12">
      <c r="A45" t="s">
        <v>57</v>
      </c>
      <c r="B45">
        <v>5894794</v>
      </c>
      <c r="C45" t="s">
        <v>58</v>
      </c>
      <c r="D45" t="s">
        <v>51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1</v>
      </c>
      <c r="L45">
        <v>0</v>
      </c>
    </row>
    <row r="47" spans="1:12">
      <c r="A47" s="164" t="s">
        <v>60</v>
      </c>
      <c r="B47">
        <v>7786042</v>
      </c>
      <c r="C47" t="s">
        <v>61</v>
      </c>
      <c r="D47" t="s">
        <v>51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</row>
    <row r="49" spans="1:12">
      <c r="A49" t="s">
        <v>100</v>
      </c>
      <c r="B49">
        <v>6498868</v>
      </c>
      <c r="C49" t="s">
        <v>101</v>
      </c>
      <c r="D49" t="s">
        <v>41</v>
      </c>
      <c r="E49">
        <v>0</v>
      </c>
      <c r="F49">
        <v>0</v>
      </c>
      <c r="G49">
        <v>0</v>
      </c>
      <c r="H49">
        <v>2</v>
      </c>
      <c r="I49">
        <v>2</v>
      </c>
      <c r="J49">
        <v>0</v>
      </c>
      <c r="K49">
        <v>4</v>
      </c>
      <c r="L49">
        <v>0</v>
      </c>
    </row>
    <row r="50" spans="1:12">
      <c r="A50" t="s">
        <v>100</v>
      </c>
      <c r="B50">
        <v>7408374</v>
      </c>
      <c r="C50" t="s">
        <v>102</v>
      </c>
      <c r="D50" t="s">
        <v>41</v>
      </c>
      <c r="E50">
        <v>0</v>
      </c>
    </row>
    <row r="51" spans="1:12">
      <c r="A51" t="s">
        <v>100</v>
      </c>
      <c r="B51">
        <v>7366337</v>
      </c>
      <c r="C51" t="s">
        <v>103</v>
      </c>
      <c r="D51" t="s">
        <v>37</v>
      </c>
      <c r="E51">
        <v>0</v>
      </c>
    </row>
    <row r="52" spans="1:12">
      <c r="A52" t="s">
        <v>100</v>
      </c>
      <c r="B52">
        <v>4728025</v>
      </c>
      <c r="C52" t="s">
        <v>104</v>
      </c>
      <c r="D52" t="s">
        <v>37</v>
      </c>
      <c r="E52">
        <v>0</v>
      </c>
    </row>
    <row r="54" spans="1:12">
      <c r="A54" t="s">
        <v>64</v>
      </c>
      <c r="B54">
        <v>5151864</v>
      </c>
      <c r="C54" t="s">
        <v>105</v>
      </c>
      <c r="D54" t="s">
        <v>51</v>
      </c>
      <c r="E54">
        <v>0</v>
      </c>
      <c r="F54">
        <v>5</v>
      </c>
      <c r="G54">
        <v>0</v>
      </c>
      <c r="H54">
        <v>0</v>
      </c>
      <c r="I54">
        <v>0</v>
      </c>
      <c r="J54">
        <v>0</v>
      </c>
      <c r="K54">
        <v>5</v>
      </c>
      <c r="L54">
        <v>0</v>
      </c>
    </row>
    <row r="55" spans="1:12">
      <c r="A55" t="s">
        <v>64</v>
      </c>
      <c r="B55">
        <v>6211691</v>
      </c>
      <c r="C55" t="s">
        <v>106</v>
      </c>
      <c r="D55" t="s">
        <v>51</v>
      </c>
      <c r="E55">
        <v>0</v>
      </c>
    </row>
    <row r="56" spans="1:12">
      <c r="A56" t="s">
        <v>64</v>
      </c>
      <c r="B56">
        <v>7114583</v>
      </c>
      <c r="C56" t="s">
        <v>65</v>
      </c>
      <c r="D56" t="s">
        <v>51</v>
      </c>
      <c r="E56">
        <v>1</v>
      </c>
    </row>
    <row r="57" spans="1:12">
      <c r="A57" t="s">
        <v>64</v>
      </c>
      <c r="B57">
        <v>7114222</v>
      </c>
      <c r="C57" t="s">
        <v>107</v>
      </c>
      <c r="D57" t="s">
        <v>51</v>
      </c>
      <c r="E57">
        <v>0</v>
      </c>
    </row>
    <row r="58" spans="1:12">
      <c r="A58" t="s">
        <v>64</v>
      </c>
      <c r="B58">
        <v>6917470</v>
      </c>
      <c r="C58" t="s">
        <v>108</v>
      </c>
      <c r="D58" t="s">
        <v>51</v>
      </c>
      <c r="E58">
        <v>0</v>
      </c>
    </row>
    <row r="60" spans="1:12">
      <c r="A60" t="s">
        <v>66</v>
      </c>
      <c r="B60">
        <v>6199461</v>
      </c>
      <c r="C60" t="s">
        <v>109</v>
      </c>
      <c r="D60" t="s">
        <v>51</v>
      </c>
      <c r="E60">
        <v>0</v>
      </c>
      <c r="F60">
        <v>3</v>
      </c>
      <c r="G60">
        <v>0</v>
      </c>
      <c r="H60">
        <v>0</v>
      </c>
      <c r="I60">
        <v>0</v>
      </c>
      <c r="J60">
        <v>0</v>
      </c>
      <c r="K60">
        <v>3</v>
      </c>
      <c r="L60">
        <v>0</v>
      </c>
    </row>
    <row r="61" spans="1:12">
      <c r="A61" t="s">
        <v>66</v>
      </c>
      <c r="B61">
        <v>8504351</v>
      </c>
      <c r="C61" t="s">
        <v>67</v>
      </c>
      <c r="D61" t="s">
        <v>51</v>
      </c>
      <c r="E61">
        <v>1</v>
      </c>
    </row>
    <row r="62" spans="1:12">
      <c r="A62" t="s">
        <v>66</v>
      </c>
      <c r="B62">
        <v>7786166</v>
      </c>
      <c r="C62" t="s">
        <v>110</v>
      </c>
      <c r="D62" t="s">
        <v>51</v>
      </c>
      <c r="E62">
        <v>0</v>
      </c>
    </row>
    <row r="64" spans="1:12">
      <c r="A64" t="s">
        <v>68</v>
      </c>
      <c r="B64">
        <v>7120141</v>
      </c>
      <c r="C64" t="s">
        <v>69</v>
      </c>
      <c r="D64" t="s">
        <v>51</v>
      </c>
      <c r="E64">
        <v>1</v>
      </c>
      <c r="F64">
        <v>3</v>
      </c>
      <c r="G64">
        <v>0</v>
      </c>
      <c r="H64">
        <v>0</v>
      </c>
      <c r="I64">
        <v>1</v>
      </c>
      <c r="J64">
        <v>0</v>
      </c>
      <c r="K64">
        <v>4</v>
      </c>
      <c r="L64">
        <v>0</v>
      </c>
    </row>
    <row r="65" spans="1:12">
      <c r="A65" t="s">
        <v>68</v>
      </c>
      <c r="B65">
        <v>7785976</v>
      </c>
      <c r="C65" t="s">
        <v>111</v>
      </c>
      <c r="D65" t="s">
        <v>51</v>
      </c>
      <c r="E65">
        <v>0</v>
      </c>
    </row>
    <row r="66" spans="1:12">
      <c r="A66" t="s">
        <v>68</v>
      </c>
      <c r="B66">
        <v>6214100</v>
      </c>
      <c r="C66" t="s">
        <v>112</v>
      </c>
      <c r="D66" t="s">
        <v>51</v>
      </c>
      <c r="E66">
        <v>0</v>
      </c>
    </row>
    <row r="67" spans="1:12">
      <c r="A67" t="s">
        <v>68</v>
      </c>
      <c r="B67">
        <v>5829348</v>
      </c>
      <c r="C67" t="s">
        <v>113</v>
      </c>
      <c r="D67" t="s">
        <v>41</v>
      </c>
      <c r="E67">
        <v>0</v>
      </c>
    </row>
    <row r="69" spans="1:12">
      <c r="A69" t="s">
        <v>71</v>
      </c>
      <c r="B69">
        <v>6390269</v>
      </c>
      <c r="C69" t="s">
        <v>72</v>
      </c>
      <c r="D69" t="s">
        <v>51</v>
      </c>
      <c r="E69">
        <v>1</v>
      </c>
      <c r="F69">
        <v>2</v>
      </c>
      <c r="G69">
        <v>0</v>
      </c>
      <c r="H69">
        <v>0</v>
      </c>
      <c r="I69">
        <v>0</v>
      </c>
      <c r="J69">
        <v>0</v>
      </c>
      <c r="K69">
        <v>2</v>
      </c>
      <c r="L69">
        <v>0</v>
      </c>
    </row>
    <row r="70" spans="1:12">
      <c r="A70" t="s">
        <v>71</v>
      </c>
      <c r="B70">
        <v>6495044</v>
      </c>
      <c r="C70" t="s">
        <v>114</v>
      </c>
      <c r="D70" t="s">
        <v>51</v>
      </c>
      <c r="E70">
        <v>0</v>
      </c>
    </row>
    <row r="72" spans="1:12">
      <c r="A72" t="s">
        <v>74</v>
      </c>
      <c r="B72">
        <v>8775460</v>
      </c>
      <c r="C72" t="s">
        <v>75</v>
      </c>
      <c r="D72" t="s">
        <v>88</v>
      </c>
      <c r="E72">
        <v>1</v>
      </c>
      <c r="F72">
        <v>0</v>
      </c>
      <c r="G72">
        <v>3</v>
      </c>
      <c r="H72">
        <v>1</v>
      </c>
      <c r="I72">
        <v>0</v>
      </c>
      <c r="J72">
        <v>0</v>
      </c>
      <c r="K72">
        <v>4</v>
      </c>
      <c r="L72">
        <v>2</v>
      </c>
    </row>
    <row r="73" spans="1:12">
      <c r="A73" t="s">
        <v>74</v>
      </c>
      <c r="B73" t="s">
        <v>115</v>
      </c>
      <c r="C73" t="s">
        <v>116</v>
      </c>
      <c r="D73" t="s">
        <v>37</v>
      </c>
      <c r="E73">
        <v>0</v>
      </c>
    </row>
    <row r="74" spans="1:12">
      <c r="A74" t="s">
        <v>74</v>
      </c>
      <c r="B74" t="s">
        <v>117</v>
      </c>
      <c r="C74" t="s">
        <v>118</v>
      </c>
      <c r="D74" t="s">
        <v>88</v>
      </c>
      <c r="E74">
        <v>0</v>
      </c>
    </row>
    <row r="75" spans="1:12">
      <c r="A75" t="s">
        <v>74</v>
      </c>
      <c r="B75" t="s">
        <v>119</v>
      </c>
      <c r="C75" t="s">
        <v>120</v>
      </c>
      <c r="D75" t="s">
        <v>88</v>
      </c>
      <c r="E75">
        <v>0</v>
      </c>
    </row>
    <row r="77" spans="1:12">
      <c r="A77" s="164" t="s">
        <v>76</v>
      </c>
      <c r="B77">
        <v>6497969</v>
      </c>
      <c r="C77" t="s">
        <v>77</v>
      </c>
      <c r="D77" t="s">
        <v>41</v>
      </c>
      <c r="E77">
        <v>1</v>
      </c>
      <c r="F77">
        <v>0</v>
      </c>
      <c r="G77">
        <v>0</v>
      </c>
      <c r="H77">
        <v>0</v>
      </c>
      <c r="I77">
        <v>1</v>
      </c>
      <c r="J77">
        <v>0</v>
      </c>
      <c r="K77">
        <v>1</v>
      </c>
      <c r="L77">
        <v>0</v>
      </c>
    </row>
    <row r="79" spans="1:12">
      <c r="A79" t="s">
        <v>79</v>
      </c>
      <c r="B79">
        <v>6999599</v>
      </c>
      <c r="C79" t="s">
        <v>80</v>
      </c>
      <c r="D79" t="s">
        <v>37</v>
      </c>
      <c r="E79">
        <v>1</v>
      </c>
      <c r="F79">
        <v>0</v>
      </c>
      <c r="G79">
        <v>0</v>
      </c>
      <c r="H79">
        <v>1</v>
      </c>
      <c r="I79">
        <v>3</v>
      </c>
      <c r="J79">
        <v>0</v>
      </c>
      <c r="K79">
        <v>4</v>
      </c>
      <c r="L79">
        <v>0</v>
      </c>
    </row>
    <row r="80" spans="1:12">
      <c r="A80" t="s">
        <v>79</v>
      </c>
      <c r="B80">
        <v>6435785</v>
      </c>
      <c r="C80" t="s">
        <v>121</v>
      </c>
      <c r="D80" t="s">
        <v>41</v>
      </c>
      <c r="E80">
        <v>0</v>
      </c>
    </row>
    <row r="81" spans="1:12">
      <c r="A81" t="s">
        <v>79</v>
      </c>
      <c r="B81">
        <v>6154590</v>
      </c>
      <c r="C81" t="s">
        <v>122</v>
      </c>
      <c r="D81" t="s">
        <v>41</v>
      </c>
      <c r="E81">
        <v>0</v>
      </c>
    </row>
    <row r="82" spans="1:12">
      <c r="A82" t="s">
        <v>79</v>
      </c>
      <c r="B82">
        <v>5026415</v>
      </c>
      <c r="C82" t="s">
        <v>123</v>
      </c>
      <c r="D82" t="s">
        <v>41</v>
      </c>
      <c r="E82">
        <v>0</v>
      </c>
    </row>
    <row r="83" spans="1:12">
      <c r="A83" t="s">
        <v>124</v>
      </c>
      <c r="C83" t="s">
        <v>124</v>
      </c>
      <c r="D83" t="s">
        <v>124</v>
      </c>
      <c r="E83">
        <v>0</v>
      </c>
    </row>
    <row r="85" spans="1:12">
      <c r="E85">
        <v>17</v>
      </c>
      <c r="F85">
        <v>25</v>
      </c>
      <c r="G85">
        <v>7</v>
      </c>
      <c r="H85">
        <v>15</v>
      </c>
      <c r="I85">
        <v>17</v>
      </c>
      <c r="J85">
        <v>0</v>
      </c>
      <c r="K85">
        <v>64</v>
      </c>
      <c r="L85">
        <v>4</v>
      </c>
    </row>
    <row r="89" spans="1:12">
      <c r="A89" s="164" t="s">
        <v>125</v>
      </c>
    </row>
    <row r="93" spans="1:12">
      <c r="A93" s="164"/>
    </row>
    <row r="94" spans="1:12">
      <c r="A94" s="16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 filterMode="1">
    <tabColor rgb="FF00FF00"/>
    <outlinePr summaryBelow="0" summaryRight="0"/>
  </sheetPr>
  <dimension ref="A1:N92"/>
  <sheetViews>
    <sheetView tabSelected="1" topLeftCell="D1" zoomScale="85" zoomScaleNormal="85" workbookViewId="0">
      <pane ySplit="3" topLeftCell="A20" activePane="bottomLeft" state="frozen"/>
      <selection activeCell="F1" sqref="F1"/>
      <selection pane="bottomLeft" activeCell="D34" sqref="A34:XFD34"/>
    </sheetView>
  </sheetViews>
  <sheetFormatPr defaultColWidth="0" defaultRowHeight="15.75" customHeight="1" zeroHeight="1"/>
  <cols>
    <col min="1" max="1" width="25.7109375" customWidth="1"/>
    <col min="2" max="2" width="26.5703125" customWidth="1"/>
    <col min="3" max="3" width="20.42578125" customWidth="1"/>
    <col min="4" max="4" width="47.140625" customWidth="1"/>
    <col min="5" max="5" width="38.5703125" bestFit="1" customWidth="1"/>
    <col min="6" max="6" width="15.42578125" customWidth="1"/>
    <col min="7" max="7" width="27.140625" customWidth="1"/>
    <col min="8" max="8" width="32" bestFit="1" customWidth="1"/>
    <col min="9" max="9" width="9.140625" bestFit="1" customWidth="1"/>
    <col min="10" max="10" width="8" customWidth="1"/>
    <col min="11" max="11" width="37.5703125" customWidth="1"/>
    <col min="12" max="12" width="26" customWidth="1"/>
    <col min="13" max="13" width="16.7109375" bestFit="1" customWidth="1"/>
    <col min="14" max="14" width="18.85546875" customWidth="1"/>
  </cols>
  <sheetData>
    <row r="1" spans="1:14" ht="33" customHeight="1">
      <c r="A1" s="186" t="s">
        <v>126</v>
      </c>
      <c r="B1" s="187" t="s">
        <v>127</v>
      </c>
      <c r="C1" s="186" t="s">
        <v>128</v>
      </c>
      <c r="D1" s="186" t="s">
        <v>129</v>
      </c>
      <c r="E1" s="201" t="s">
        <v>130</v>
      </c>
      <c r="F1" s="202" t="s">
        <v>131</v>
      </c>
      <c r="G1" s="201" t="s">
        <v>132</v>
      </c>
      <c r="H1" s="187" t="s">
        <v>133</v>
      </c>
      <c r="I1" s="365" t="s">
        <v>134</v>
      </c>
      <c r="J1" s="366"/>
      <c r="K1" s="186" t="s">
        <v>3940</v>
      </c>
      <c r="L1" s="191" t="s">
        <v>135</v>
      </c>
      <c r="M1" s="194" t="s">
        <v>136</v>
      </c>
      <c r="N1" s="186" t="s">
        <v>137</v>
      </c>
    </row>
    <row r="2" spans="1:14" ht="76.5" customHeight="1">
      <c r="A2" s="168"/>
      <c r="B2" s="169"/>
      <c r="C2" s="170"/>
      <c r="D2" s="171"/>
      <c r="E2" s="171"/>
      <c r="F2" s="200"/>
      <c r="G2" s="200"/>
      <c r="H2" s="172"/>
      <c r="I2" s="367"/>
      <c r="J2" s="368"/>
      <c r="K2" s="170"/>
      <c r="L2" s="192"/>
      <c r="M2" s="195"/>
      <c r="N2" s="198"/>
    </row>
    <row r="3" spans="1:14" ht="35.25" customHeight="1">
      <c r="A3" s="188" t="s">
        <v>138</v>
      </c>
      <c r="B3" s="189" t="s">
        <v>139</v>
      </c>
      <c r="C3" s="188" t="s">
        <v>140</v>
      </c>
      <c r="D3" s="188" t="s">
        <v>141</v>
      </c>
      <c r="E3" s="187" t="s">
        <v>142</v>
      </c>
      <c r="F3" s="187" t="s">
        <v>143</v>
      </c>
      <c r="G3" s="187" t="s">
        <v>144</v>
      </c>
      <c r="H3" s="187" t="s">
        <v>145</v>
      </c>
      <c r="I3" s="187" t="s">
        <v>146</v>
      </c>
      <c r="J3" s="187" t="s">
        <v>147</v>
      </c>
      <c r="K3" s="186" t="s">
        <v>148</v>
      </c>
      <c r="L3" s="191" t="s">
        <v>149</v>
      </c>
      <c r="M3" s="196" t="s">
        <v>150</v>
      </c>
      <c r="N3" s="186" t="s">
        <v>151</v>
      </c>
    </row>
    <row r="4" spans="1:14" ht="14.25">
      <c r="A4" s="178" t="s">
        <v>152</v>
      </c>
      <c r="B4" s="179" t="s">
        <v>153</v>
      </c>
      <c r="C4" s="180" t="s">
        <v>154</v>
      </c>
      <c r="D4" s="266" t="s">
        <v>155</v>
      </c>
      <c r="E4" s="181" t="s">
        <v>156</v>
      </c>
      <c r="F4" s="178" t="s">
        <v>157</v>
      </c>
      <c r="G4" s="178" t="s">
        <v>158</v>
      </c>
      <c r="H4" s="182" t="s">
        <v>159</v>
      </c>
      <c r="I4" s="183" t="s">
        <v>160</v>
      </c>
      <c r="J4" s="183">
        <v>4</v>
      </c>
      <c r="K4" s="184" t="s">
        <v>161</v>
      </c>
      <c r="L4" s="185" t="s">
        <v>162</v>
      </c>
      <c r="M4" s="193" t="s">
        <v>163</v>
      </c>
      <c r="N4" s="184"/>
    </row>
    <row r="5" spans="1:14" ht="14.25">
      <c r="A5" s="4" t="s">
        <v>164</v>
      </c>
      <c r="B5" s="4" t="s">
        <v>165</v>
      </c>
      <c r="C5" s="6" t="s">
        <v>166</v>
      </c>
      <c r="D5" s="266" t="s">
        <v>167</v>
      </c>
      <c r="E5" s="101" t="s">
        <v>168</v>
      </c>
      <c r="F5" s="4" t="s">
        <v>169</v>
      </c>
      <c r="G5" s="4" t="s">
        <v>170</v>
      </c>
      <c r="H5" s="7" t="s">
        <v>171</v>
      </c>
      <c r="I5" s="12" t="s">
        <v>160</v>
      </c>
      <c r="J5" s="8">
        <v>9</v>
      </c>
      <c r="K5" s="4" t="s">
        <v>172</v>
      </c>
      <c r="L5" s="208" t="s">
        <v>173</v>
      </c>
      <c r="M5" s="102" t="s">
        <v>174</v>
      </c>
      <c r="N5" s="4"/>
    </row>
    <row r="6" spans="1:14" ht="14.25">
      <c r="A6" s="4" t="s">
        <v>152</v>
      </c>
      <c r="B6" s="4" t="s">
        <v>175</v>
      </c>
      <c r="C6" s="6" t="s">
        <v>176</v>
      </c>
      <c r="D6" s="267" t="s">
        <v>177</v>
      </c>
      <c r="E6" s="101" t="s">
        <v>178</v>
      </c>
      <c r="F6" s="4" t="s">
        <v>179</v>
      </c>
      <c r="G6" s="4" t="s">
        <v>180</v>
      </c>
      <c r="H6" s="7" t="s">
        <v>159</v>
      </c>
      <c r="I6" s="8" t="s">
        <v>181</v>
      </c>
      <c r="J6" s="8">
        <v>5</v>
      </c>
      <c r="K6" s="207" t="s">
        <v>182</v>
      </c>
      <c r="L6" s="12" t="s">
        <v>183</v>
      </c>
      <c r="M6" s="103" t="s">
        <v>184</v>
      </c>
      <c r="N6" s="4"/>
    </row>
    <row r="7" spans="1:14" ht="14.25">
      <c r="A7" s="4" t="s">
        <v>164</v>
      </c>
      <c r="B7" s="14" t="s">
        <v>185</v>
      </c>
      <c r="C7" s="6" t="s">
        <v>186</v>
      </c>
      <c r="D7" s="266" t="s">
        <v>187</v>
      </c>
      <c r="E7" s="104" t="s">
        <v>188</v>
      </c>
      <c r="F7" s="15" t="s">
        <v>189</v>
      </c>
      <c r="G7" s="15" t="s">
        <v>190</v>
      </c>
      <c r="H7" s="16" t="s">
        <v>191</v>
      </c>
      <c r="I7" s="8" t="s">
        <v>192</v>
      </c>
      <c r="J7" s="8">
        <v>5</v>
      </c>
      <c r="K7" s="4" t="s">
        <v>193</v>
      </c>
      <c r="L7" s="209" t="s">
        <v>194</v>
      </c>
      <c r="M7" s="102" t="s">
        <v>195</v>
      </c>
      <c r="N7" s="4"/>
    </row>
    <row r="8" spans="1:14" ht="16.5">
      <c r="A8" s="4" t="s">
        <v>164</v>
      </c>
      <c r="B8" s="18" t="s">
        <v>196</v>
      </c>
      <c r="C8" s="6" t="s">
        <v>197</v>
      </c>
      <c r="D8" s="266" t="s">
        <v>198</v>
      </c>
      <c r="E8" s="104" t="s">
        <v>199</v>
      </c>
      <c r="F8" s="15" t="s">
        <v>200</v>
      </c>
      <c r="G8" s="15" t="s">
        <v>201</v>
      </c>
      <c r="H8" s="19" t="s">
        <v>202</v>
      </c>
      <c r="I8" s="8" t="s">
        <v>160</v>
      </c>
      <c r="J8" s="8">
        <v>4</v>
      </c>
      <c r="K8" s="4" t="s">
        <v>203</v>
      </c>
      <c r="L8" s="10" t="s">
        <v>204</v>
      </c>
      <c r="M8" s="102" t="s">
        <v>205</v>
      </c>
      <c r="N8" s="4"/>
    </row>
    <row r="9" spans="1:14" ht="14.25">
      <c r="A9" s="4" t="s">
        <v>164</v>
      </c>
      <c r="B9" s="14" t="s">
        <v>206</v>
      </c>
      <c r="C9" s="6" t="s">
        <v>207</v>
      </c>
      <c r="D9" s="266" t="s">
        <v>208</v>
      </c>
      <c r="E9" s="104" t="s">
        <v>209</v>
      </c>
      <c r="F9" s="15" t="s">
        <v>200</v>
      </c>
      <c r="G9" s="167" t="s">
        <v>190</v>
      </c>
      <c r="H9" s="16" t="s">
        <v>191</v>
      </c>
      <c r="I9" s="12" t="s">
        <v>192</v>
      </c>
      <c r="J9" s="8">
        <v>4</v>
      </c>
      <c r="K9" s="4" t="s">
        <v>210</v>
      </c>
      <c r="L9" s="10" t="s">
        <v>211</v>
      </c>
      <c r="M9" s="102" t="s">
        <v>212</v>
      </c>
      <c r="N9" s="4"/>
    </row>
    <row r="10" spans="1:14" ht="14.25">
      <c r="A10" s="4" t="s">
        <v>164</v>
      </c>
      <c r="B10" s="14" t="s">
        <v>213</v>
      </c>
      <c r="C10" s="6" t="s">
        <v>214</v>
      </c>
      <c r="D10" s="266" t="s">
        <v>215</v>
      </c>
      <c r="E10" s="104" t="s">
        <v>216</v>
      </c>
      <c r="F10" s="15" t="s">
        <v>217</v>
      </c>
      <c r="G10" s="15" t="s">
        <v>218</v>
      </c>
      <c r="H10" s="16" t="s">
        <v>219</v>
      </c>
      <c r="I10" s="8" t="s">
        <v>220</v>
      </c>
      <c r="J10" s="8">
        <v>3</v>
      </c>
      <c r="K10" s="4" t="s">
        <v>221</v>
      </c>
      <c r="L10" s="10" t="s">
        <v>222</v>
      </c>
      <c r="M10" s="102" t="s">
        <v>223</v>
      </c>
      <c r="N10" s="4"/>
    </row>
    <row r="11" spans="1:14" ht="14.25">
      <c r="A11" s="4" t="s">
        <v>164</v>
      </c>
      <c r="B11" s="14" t="s">
        <v>224</v>
      </c>
      <c r="C11" s="6" t="s">
        <v>225</v>
      </c>
      <c r="D11" s="266" t="s">
        <v>226</v>
      </c>
      <c r="E11" s="104" t="s">
        <v>227</v>
      </c>
      <c r="F11" s="15" t="s">
        <v>228</v>
      </c>
      <c r="G11" s="15" t="s">
        <v>229</v>
      </c>
      <c r="H11" s="19" t="s">
        <v>230</v>
      </c>
      <c r="I11" s="12" t="s">
        <v>192</v>
      </c>
      <c r="J11" s="8">
        <v>5</v>
      </c>
      <c r="K11" s="4" t="s">
        <v>231</v>
      </c>
      <c r="L11" s="10" t="s">
        <v>232</v>
      </c>
      <c r="M11" s="102" t="s">
        <v>233</v>
      </c>
      <c r="N11" s="4"/>
    </row>
    <row r="12" spans="1:14" ht="14.25">
      <c r="A12" s="4" t="s">
        <v>164</v>
      </c>
      <c r="B12" s="14" t="s">
        <v>234</v>
      </c>
      <c r="C12" s="6" t="s">
        <v>235</v>
      </c>
      <c r="D12" s="266" t="s">
        <v>236</v>
      </c>
      <c r="E12" s="101" t="s">
        <v>237</v>
      </c>
      <c r="F12" s="4" t="s">
        <v>238</v>
      </c>
      <c r="G12" s="4" t="s">
        <v>239</v>
      </c>
      <c r="H12" s="7" t="s">
        <v>159</v>
      </c>
      <c r="I12" s="8" t="s">
        <v>181</v>
      </c>
      <c r="J12" s="8">
        <v>3</v>
      </c>
      <c r="K12" s="4" t="s">
        <v>240</v>
      </c>
      <c r="L12" s="17" t="s">
        <v>241</v>
      </c>
      <c r="M12" s="102" t="s">
        <v>242</v>
      </c>
      <c r="N12" s="4"/>
    </row>
    <row r="13" spans="1:14" ht="14.25">
      <c r="A13" s="4" t="s">
        <v>164</v>
      </c>
      <c r="B13" s="4" t="s">
        <v>243</v>
      </c>
      <c r="C13" s="6" t="s">
        <v>244</v>
      </c>
      <c r="D13" s="266" t="s">
        <v>245</v>
      </c>
      <c r="E13" s="101" t="s">
        <v>246</v>
      </c>
      <c r="F13" s="4" t="s">
        <v>247</v>
      </c>
      <c r="G13" s="4" t="s">
        <v>248</v>
      </c>
      <c r="H13" s="7" t="s">
        <v>249</v>
      </c>
      <c r="I13" s="8" t="s">
        <v>181</v>
      </c>
      <c r="J13" s="8">
        <v>5</v>
      </c>
      <c r="K13" s="4" t="s">
        <v>250</v>
      </c>
      <c r="L13" s="17" t="s">
        <v>251</v>
      </c>
      <c r="M13" s="102" t="s">
        <v>252</v>
      </c>
      <c r="N13" s="4"/>
    </row>
    <row r="14" spans="1:14" ht="14.25">
      <c r="A14" s="4" t="s">
        <v>164</v>
      </c>
      <c r="B14" s="14" t="s">
        <v>253</v>
      </c>
      <c r="C14" s="6" t="s">
        <v>254</v>
      </c>
      <c r="D14" s="266" t="s">
        <v>255</v>
      </c>
      <c r="E14" s="104" t="s">
        <v>256</v>
      </c>
      <c r="F14" s="15" t="s">
        <v>257</v>
      </c>
      <c r="G14" s="15" t="s">
        <v>258</v>
      </c>
      <c r="H14" s="16" t="s">
        <v>259</v>
      </c>
      <c r="I14" s="12" t="s">
        <v>220</v>
      </c>
      <c r="J14" s="8">
        <v>2</v>
      </c>
      <c r="K14" s="4" t="s">
        <v>260</v>
      </c>
      <c r="L14" s="10" t="s">
        <v>261</v>
      </c>
      <c r="M14" s="102" t="s">
        <v>262</v>
      </c>
      <c r="N14" s="4"/>
    </row>
    <row r="15" spans="1:14" ht="14.25">
      <c r="A15" s="4" t="s">
        <v>164</v>
      </c>
      <c r="B15" s="14" t="s">
        <v>263</v>
      </c>
      <c r="C15" s="6" t="s">
        <v>264</v>
      </c>
      <c r="D15" s="266" t="s">
        <v>265</v>
      </c>
      <c r="E15" s="104" t="s">
        <v>266</v>
      </c>
      <c r="F15" s="15" t="s">
        <v>267</v>
      </c>
      <c r="G15" s="15" t="s">
        <v>268</v>
      </c>
      <c r="H15" s="19" t="s">
        <v>269</v>
      </c>
      <c r="I15" s="8" t="s">
        <v>160</v>
      </c>
      <c r="J15" s="8">
        <v>5</v>
      </c>
      <c r="K15" s="4" t="s">
        <v>270</v>
      </c>
      <c r="L15" s="10" t="s">
        <v>271</v>
      </c>
      <c r="M15" s="102" t="s">
        <v>272</v>
      </c>
      <c r="N15" s="4"/>
    </row>
    <row r="16" spans="1:14" ht="14.25">
      <c r="A16" s="4" t="s">
        <v>164</v>
      </c>
      <c r="B16" s="14" t="s">
        <v>273</v>
      </c>
      <c r="C16" s="6" t="s">
        <v>274</v>
      </c>
      <c r="D16" s="266" t="s">
        <v>275</v>
      </c>
      <c r="E16" s="104" t="s">
        <v>276</v>
      </c>
      <c r="F16" s="15" t="s">
        <v>277</v>
      </c>
      <c r="G16" s="15" t="s">
        <v>278</v>
      </c>
      <c r="H16" s="16" t="s">
        <v>279</v>
      </c>
      <c r="I16" s="12" t="s">
        <v>192</v>
      </c>
      <c r="J16" s="8">
        <v>5</v>
      </c>
      <c r="K16" s="166" t="s">
        <v>280</v>
      </c>
      <c r="L16" s="10" t="s">
        <v>281</v>
      </c>
      <c r="M16" s="102" t="s">
        <v>282</v>
      </c>
      <c r="N16" s="4"/>
    </row>
    <row r="17" spans="1:14" ht="14.25">
      <c r="A17" s="4" t="s">
        <v>164</v>
      </c>
      <c r="B17" s="4" t="s">
        <v>283</v>
      </c>
      <c r="C17" s="6" t="s">
        <v>284</v>
      </c>
      <c r="D17" s="266" t="s">
        <v>285</v>
      </c>
      <c r="E17" s="101" t="s">
        <v>286</v>
      </c>
      <c r="F17" s="4" t="s">
        <v>287</v>
      </c>
      <c r="G17" s="4" t="s">
        <v>239</v>
      </c>
      <c r="H17" s="7" t="s">
        <v>159</v>
      </c>
      <c r="I17" s="8" t="s">
        <v>181</v>
      </c>
      <c r="J17" s="8">
        <v>4</v>
      </c>
      <c r="K17" s="4" t="s">
        <v>288</v>
      </c>
      <c r="L17" s="17" t="s">
        <v>289</v>
      </c>
      <c r="M17" s="102" t="s">
        <v>290</v>
      </c>
      <c r="N17" s="4"/>
    </row>
    <row r="18" spans="1:14" ht="14.25">
      <c r="A18" s="4" t="s">
        <v>164</v>
      </c>
      <c r="B18" s="14" t="s">
        <v>291</v>
      </c>
      <c r="C18" s="6" t="s">
        <v>292</v>
      </c>
      <c r="D18" s="266" t="s">
        <v>293</v>
      </c>
      <c r="E18" s="104" t="s">
        <v>294</v>
      </c>
      <c r="F18" s="15" t="s">
        <v>295</v>
      </c>
      <c r="G18" s="15" t="s">
        <v>296</v>
      </c>
      <c r="H18" s="16" t="s">
        <v>219</v>
      </c>
      <c r="I18" s="12" t="s">
        <v>220</v>
      </c>
      <c r="J18" s="8">
        <v>5</v>
      </c>
      <c r="K18" s="4" t="s">
        <v>297</v>
      </c>
      <c r="L18" s="10" t="s">
        <v>298</v>
      </c>
      <c r="M18" s="102" t="s">
        <v>299</v>
      </c>
      <c r="N18" s="4"/>
    </row>
    <row r="19" spans="1:14" ht="14.25">
      <c r="A19" s="4" t="s">
        <v>300</v>
      </c>
      <c r="B19" s="14" t="s">
        <v>301</v>
      </c>
      <c r="C19" s="6" t="s">
        <v>302</v>
      </c>
      <c r="D19" s="266" t="s">
        <v>303</v>
      </c>
      <c r="E19" s="104" t="s">
        <v>304</v>
      </c>
      <c r="F19" s="15" t="s">
        <v>305</v>
      </c>
      <c r="G19" s="15" t="s">
        <v>306</v>
      </c>
      <c r="H19" s="16" t="s">
        <v>307</v>
      </c>
      <c r="I19" s="12" t="s">
        <v>220</v>
      </c>
      <c r="J19" s="8">
        <v>3</v>
      </c>
      <c r="K19" s="4" t="s">
        <v>308</v>
      </c>
      <c r="L19" s="10" t="s">
        <v>309</v>
      </c>
      <c r="M19" s="102" t="s">
        <v>310</v>
      </c>
      <c r="N19" s="4"/>
    </row>
    <row r="20" spans="1:14" ht="14.25">
      <c r="A20" s="4" t="s">
        <v>164</v>
      </c>
      <c r="B20" s="14" t="s">
        <v>311</v>
      </c>
      <c r="C20" s="6" t="s">
        <v>312</v>
      </c>
      <c r="D20" s="266" t="s">
        <v>313</v>
      </c>
      <c r="E20" s="104" t="s">
        <v>314</v>
      </c>
      <c r="F20" s="15" t="s">
        <v>315</v>
      </c>
      <c r="G20" s="15" t="s">
        <v>316</v>
      </c>
      <c r="H20" s="16" t="s">
        <v>317</v>
      </c>
      <c r="I20" s="12" t="s">
        <v>192</v>
      </c>
      <c r="J20" s="8">
        <v>4</v>
      </c>
      <c r="K20" s="4" t="s">
        <v>318</v>
      </c>
      <c r="L20" s="10" t="s">
        <v>319</v>
      </c>
      <c r="M20" s="102" t="s">
        <v>320</v>
      </c>
      <c r="N20" s="4"/>
    </row>
    <row r="21" spans="1:14" ht="14.25">
      <c r="A21" s="4" t="s">
        <v>164</v>
      </c>
      <c r="B21" s="4" t="s">
        <v>321</v>
      </c>
      <c r="C21" s="6" t="s">
        <v>322</v>
      </c>
      <c r="D21" s="266" t="s">
        <v>323</v>
      </c>
      <c r="E21" s="101" t="s">
        <v>324</v>
      </c>
      <c r="F21" s="4" t="s">
        <v>325</v>
      </c>
      <c r="G21" s="4" t="s">
        <v>326</v>
      </c>
      <c r="H21" s="19" t="s">
        <v>327</v>
      </c>
      <c r="I21" s="8" t="s">
        <v>181</v>
      </c>
      <c r="J21" s="8">
        <v>4</v>
      </c>
      <c r="K21" s="4" t="s">
        <v>328</v>
      </c>
      <c r="L21" s="17" t="s">
        <v>329</v>
      </c>
      <c r="M21" s="102" t="s">
        <v>330</v>
      </c>
      <c r="N21" s="4"/>
    </row>
    <row r="22" spans="1:14" ht="14.25">
      <c r="A22" s="4" t="s">
        <v>164</v>
      </c>
      <c r="B22" s="14" t="s">
        <v>331</v>
      </c>
      <c r="C22" s="6" t="s">
        <v>332</v>
      </c>
      <c r="D22" s="266" t="s">
        <v>333</v>
      </c>
      <c r="E22" s="104" t="s">
        <v>334</v>
      </c>
      <c r="F22" s="15" t="s">
        <v>335</v>
      </c>
      <c r="G22" s="15" t="s">
        <v>336</v>
      </c>
      <c r="H22" s="19" t="s">
        <v>269</v>
      </c>
      <c r="I22" s="8" t="s">
        <v>160</v>
      </c>
      <c r="J22" s="8">
        <v>2</v>
      </c>
      <c r="K22" s="4" t="s">
        <v>337</v>
      </c>
      <c r="L22" s="10" t="s">
        <v>338</v>
      </c>
      <c r="M22" s="102" t="s">
        <v>339</v>
      </c>
      <c r="N22" s="4"/>
    </row>
    <row r="23" spans="1:14" ht="14.25">
      <c r="A23" s="4" t="s">
        <v>164</v>
      </c>
      <c r="B23" s="4" t="s">
        <v>340</v>
      </c>
      <c r="C23" s="6" t="s">
        <v>341</v>
      </c>
      <c r="D23" s="266" t="s">
        <v>342</v>
      </c>
      <c r="E23" s="101" t="s">
        <v>343</v>
      </c>
      <c r="F23" s="4">
        <v>995637090</v>
      </c>
      <c r="G23" s="4" t="s">
        <v>344</v>
      </c>
      <c r="H23" s="19" t="s">
        <v>345</v>
      </c>
      <c r="I23" s="8" t="s">
        <v>181</v>
      </c>
      <c r="J23" s="8">
        <v>3</v>
      </c>
      <c r="K23" s="4" t="s">
        <v>346</v>
      </c>
      <c r="L23" s="17" t="s">
        <v>347</v>
      </c>
      <c r="M23" s="102" t="s">
        <v>348</v>
      </c>
      <c r="N23" s="4"/>
    </row>
    <row r="24" spans="1:14" ht="14.25">
      <c r="A24" s="4" t="s">
        <v>164</v>
      </c>
      <c r="B24" s="4" t="s">
        <v>349</v>
      </c>
      <c r="C24" s="6" t="s">
        <v>350</v>
      </c>
      <c r="D24" s="266" t="s">
        <v>351</v>
      </c>
      <c r="E24" s="101" t="s">
        <v>352</v>
      </c>
      <c r="F24" s="4" t="s">
        <v>287</v>
      </c>
      <c r="G24" s="4" t="s">
        <v>239</v>
      </c>
      <c r="H24" s="7" t="s">
        <v>159</v>
      </c>
      <c r="I24" s="8" t="s">
        <v>181</v>
      </c>
      <c r="J24" s="8">
        <v>6</v>
      </c>
      <c r="K24" s="4" t="s">
        <v>353</v>
      </c>
      <c r="L24" s="17" t="s">
        <v>354</v>
      </c>
      <c r="M24" s="102" t="s">
        <v>355</v>
      </c>
      <c r="N24" s="4"/>
    </row>
    <row r="25" spans="1:14" ht="14.25">
      <c r="A25" s="4" t="s">
        <v>164</v>
      </c>
      <c r="B25" s="14" t="s">
        <v>356</v>
      </c>
      <c r="C25" s="6" t="s">
        <v>357</v>
      </c>
      <c r="D25" s="266" t="s">
        <v>358</v>
      </c>
      <c r="E25" s="104" t="s">
        <v>359</v>
      </c>
      <c r="F25" s="15" t="s">
        <v>360</v>
      </c>
      <c r="G25" s="15" t="s">
        <v>361</v>
      </c>
      <c r="H25" s="16" t="s">
        <v>362</v>
      </c>
      <c r="I25" s="12" t="s">
        <v>220</v>
      </c>
      <c r="J25" s="8">
        <v>4</v>
      </c>
      <c r="K25" s="4" t="s">
        <v>363</v>
      </c>
      <c r="L25" s="10" t="s">
        <v>364</v>
      </c>
      <c r="M25" s="102" t="s">
        <v>365</v>
      </c>
      <c r="N25" s="4"/>
    </row>
    <row r="26" spans="1:14" ht="14.25">
      <c r="A26" s="4" t="s">
        <v>164</v>
      </c>
      <c r="B26" s="4" t="s">
        <v>366</v>
      </c>
      <c r="C26" s="6" t="s">
        <v>367</v>
      </c>
      <c r="D26" s="266" t="s">
        <v>368</v>
      </c>
      <c r="E26" s="101" t="s">
        <v>369</v>
      </c>
      <c r="F26" s="4" t="s">
        <v>370</v>
      </c>
      <c r="G26" s="4" t="s">
        <v>326</v>
      </c>
      <c r="H26" s="7" t="s">
        <v>327</v>
      </c>
      <c r="I26" s="8" t="s">
        <v>181</v>
      </c>
      <c r="J26" s="8">
        <v>4</v>
      </c>
      <c r="K26" s="4" t="s">
        <v>371</v>
      </c>
      <c r="L26" s="17" t="s">
        <v>372</v>
      </c>
      <c r="M26" s="102" t="s">
        <v>373</v>
      </c>
      <c r="N26" s="4"/>
    </row>
    <row r="27" spans="1:14" ht="14.25">
      <c r="A27" s="4" t="s">
        <v>164</v>
      </c>
      <c r="B27" s="14"/>
      <c r="C27" s="6" t="s">
        <v>374</v>
      </c>
      <c r="D27" s="266" t="s">
        <v>375</v>
      </c>
      <c r="E27" s="101" t="s">
        <v>376</v>
      </c>
      <c r="F27" s="15" t="s">
        <v>377</v>
      </c>
      <c r="G27" s="15" t="s">
        <v>378</v>
      </c>
      <c r="H27" s="16" t="s">
        <v>379</v>
      </c>
      <c r="I27" s="8" t="s">
        <v>160</v>
      </c>
      <c r="J27" s="8">
        <v>2</v>
      </c>
      <c r="K27" s="4" t="s">
        <v>380</v>
      </c>
      <c r="L27" s="10" t="s">
        <v>381</v>
      </c>
      <c r="M27" s="102" t="s">
        <v>382</v>
      </c>
      <c r="N27" s="4"/>
    </row>
    <row r="28" spans="1:14" ht="13.5" customHeight="1">
      <c r="A28" s="4" t="s">
        <v>164</v>
      </c>
      <c r="B28" s="4" t="s">
        <v>383</v>
      </c>
      <c r="C28" s="6" t="s">
        <v>384</v>
      </c>
      <c r="D28" s="266" t="s">
        <v>385</v>
      </c>
      <c r="E28" s="104" t="s">
        <v>386</v>
      </c>
      <c r="F28" s="15" t="s">
        <v>387</v>
      </c>
      <c r="G28" s="15" t="s">
        <v>388</v>
      </c>
      <c r="H28" s="19" t="s">
        <v>389</v>
      </c>
      <c r="I28" s="8" t="s">
        <v>160</v>
      </c>
      <c r="J28" s="8">
        <v>5</v>
      </c>
      <c r="K28" s="4" t="s">
        <v>390</v>
      </c>
      <c r="L28" s="10" t="s">
        <v>391</v>
      </c>
      <c r="M28" s="102" t="s">
        <v>392</v>
      </c>
      <c r="N28" s="4"/>
    </row>
    <row r="29" spans="1:14" ht="14.25">
      <c r="A29" s="4" t="s">
        <v>164</v>
      </c>
      <c r="B29" s="21" t="s">
        <v>393</v>
      </c>
      <c r="C29" s="6" t="s">
        <v>394</v>
      </c>
      <c r="D29" s="266" t="s">
        <v>395</v>
      </c>
      <c r="E29" s="101" t="s">
        <v>396</v>
      </c>
      <c r="F29" s="4" t="s">
        <v>397</v>
      </c>
      <c r="G29" s="4" t="s">
        <v>398</v>
      </c>
      <c r="H29" s="7" t="s">
        <v>399</v>
      </c>
      <c r="I29" s="8" t="s">
        <v>181</v>
      </c>
      <c r="J29" s="8">
        <v>5</v>
      </c>
      <c r="K29" s="4" t="s">
        <v>400</v>
      </c>
      <c r="L29" s="17" t="s">
        <v>401</v>
      </c>
      <c r="M29" s="102" t="s">
        <v>402</v>
      </c>
      <c r="N29" s="4"/>
    </row>
    <row r="30" spans="1:14" ht="14.25">
      <c r="A30" s="4" t="s">
        <v>164</v>
      </c>
      <c r="B30" s="4" t="s">
        <v>403</v>
      </c>
      <c r="C30" s="6" t="s">
        <v>404</v>
      </c>
      <c r="D30" s="266" t="s">
        <v>405</v>
      </c>
      <c r="E30" s="101" t="s">
        <v>406</v>
      </c>
      <c r="F30" s="4" t="s">
        <v>407</v>
      </c>
      <c r="G30" s="4" t="s">
        <v>408</v>
      </c>
      <c r="H30" s="19" t="s">
        <v>399</v>
      </c>
      <c r="I30" s="8" t="s">
        <v>181</v>
      </c>
      <c r="J30" s="8">
        <v>6</v>
      </c>
      <c r="K30" s="364" t="s">
        <v>3942</v>
      </c>
      <c r="L30" s="17" t="s">
        <v>410</v>
      </c>
      <c r="M30" s="102" t="s">
        <v>411</v>
      </c>
      <c r="N30" s="4"/>
    </row>
    <row r="31" spans="1:14" ht="14.25">
      <c r="A31" s="4" t="s">
        <v>164</v>
      </c>
      <c r="B31" s="14" t="s">
        <v>412</v>
      </c>
      <c r="C31" s="6" t="s">
        <v>413</v>
      </c>
      <c r="D31" s="175" t="s">
        <v>414</v>
      </c>
      <c r="E31" s="173" t="s">
        <v>415</v>
      </c>
      <c r="F31" s="4" t="s">
        <v>416</v>
      </c>
      <c r="G31" s="4" t="s">
        <v>417</v>
      </c>
      <c r="H31" s="7" t="s">
        <v>418</v>
      </c>
      <c r="I31" s="8" t="s">
        <v>181</v>
      </c>
      <c r="J31" s="8">
        <v>6</v>
      </c>
      <c r="L31" s="17" t="s">
        <v>420</v>
      </c>
      <c r="M31" s="102" t="s">
        <v>421</v>
      </c>
      <c r="N31" s="4"/>
    </row>
    <row r="32" spans="1:14" ht="14.25">
      <c r="A32" s="4" t="s">
        <v>164</v>
      </c>
      <c r="B32" s="14" t="s">
        <v>422</v>
      </c>
      <c r="C32" s="6" t="s">
        <v>423</v>
      </c>
      <c r="D32" s="175" t="s">
        <v>424</v>
      </c>
      <c r="E32" s="174" t="s">
        <v>425</v>
      </c>
      <c r="F32" s="15" t="s">
        <v>426</v>
      </c>
      <c r="G32" s="15" t="s">
        <v>427</v>
      </c>
      <c r="H32" s="19" t="s">
        <v>428</v>
      </c>
      <c r="I32" s="12" t="s">
        <v>220</v>
      </c>
      <c r="J32" s="8">
        <v>5</v>
      </c>
      <c r="K32" s="4" t="s">
        <v>3941</v>
      </c>
      <c r="L32" s="10" t="s">
        <v>430</v>
      </c>
      <c r="M32" s="102" t="s">
        <v>431</v>
      </c>
      <c r="N32" s="4"/>
    </row>
    <row r="33" spans="1:14" ht="14.25">
      <c r="A33" s="4" t="s">
        <v>164</v>
      </c>
      <c r="B33" s="14" t="s">
        <v>432</v>
      </c>
      <c r="C33" s="6" t="s">
        <v>433</v>
      </c>
      <c r="D33" s="175" t="s">
        <v>434</v>
      </c>
      <c r="E33" s="174" t="s">
        <v>435</v>
      </c>
      <c r="F33" s="15" t="s">
        <v>436</v>
      </c>
      <c r="G33" s="15" t="s">
        <v>437</v>
      </c>
      <c r="H33" s="16" t="s">
        <v>362</v>
      </c>
      <c r="I33" s="12" t="s">
        <v>220</v>
      </c>
      <c r="J33" s="8">
        <v>4</v>
      </c>
      <c r="K33" s="4" t="s">
        <v>438</v>
      </c>
      <c r="L33" s="10" t="s">
        <v>439</v>
      </c>
      <c r="M33" s="102" t="s">
        <v>440</v>
      </c>
      <c r="N33" s="4"/>
    </row>
    <row r="34" spans="1:14" ht="14.25">
      <c r="A34" s="4" t="s">
        <v>164</v>
      </c>
      <c r="B34" s="14" t="s">
        <v>441</v>
      </c>
      <c r="C34" s="6" t="s">
        <v>442</v>
      </c>
      <c r="D34" s="175" t="s">
        <v>443</v>
      </c>
      <c r="E34" s="174" t="s">
        <v>444</v>
      </c>
      <c r="F34" s="15" t="s">
        <v>445</v>
      </c>
      <c r="G34" s="15" t="s">
        <v>446</v>
      </c>
      <c r="H34" s="19" t="s">
        <v>317</v>
      </c>
      <c r="I34" s="12" t="s">
        <v>192</v>
      </c>
      <c r="J34" s="8">
        <v>4</v>
      </c>
      <c r="K34" s="4" t="s">
        <v>3941</v>
      </c>
      <c r="L34" s="10" t="s">
        <v>448</v>
      </c>
      <c r="M34" s="102" t="s">
        <v>449</v>
      </c>
      <c r="N34" s="4"/>
    </row>
    <row r="35" spans="1:14" ht="14.25">
      <c r="A35" s="4" t="s">
        <v>164</v>
      </c>
      <c r="B35" s="14" t="s">
        <v>450</v>
      </c>
      <c r="C35" s="6" t="s">
        <v>451</v>
      </c>
      <c r="D35" s="175" t="s">
        <v>452</v>
      </c>
      <c r="E35" s="174" t="s">
        <v>453</v>
      </c>
      <c r="F35" s="15" t="s">
        <v>454</v>
      </c>
      <c r="G35" s="15" t="s">
        <v>378</v>
      </c>
      <c r="H35" s="19" t="s">
        <v>379</v>
      </c>
      <c r="I35" s="8" t="s">
        <v>160</v>
      </c>
      <c r="J35" s="8">
        <v>6</v>
      </c>
      <c r="K35" s="4" t="s">
        <v>455</v>
      </c>
      <c r="L35" s="10" t="s">
        <v>456</v>
      </c>
      <c r="M35" s="102" t="s">
        <v>457</v>
      </c>
      <c r="N35" s="4"/>
    </row>
    <row r="36" spans="1:14" ht="14.25">
      <c r="A36" s="4" t="s">
        <v>164</v>
      </c>
      <c r="B36" s="4" t="s">
        <v>458</v>
      </c>
      <c r="C36" s="6" t="s">
        <v>459</v>
      </c>
      <c r="D36" s="175" t="s">
        <v>460</v>
      </c>
      <c r="E36" s="173" t="s">
        <v>461</v>
      </c>
      <c r="F36" s="4" t="s">
        <v>462</v>
      </c>
      <c r="G36" s="190" t="s">
        <v>463</v>
      </c>
      <c r="H36" s="19" t="s">
        <v>418</v>
      </c>
      <c r="I36" s="8" t="s">
        <v>181</v>
      </c>
      <c r="J36" s="8">
        <v>3</v>
      </c>
      <c r="K36" s="4" t="s">
        <v>464</v>
      </c>
      <c r="L36" s="22" t="s">
        <v>465</v>
      </c>
      <c r="M36" s="105" t="s">
        <v>466</v>
      </c>
      <c r="N36" s="4"/>
    </row>
    <row r="37" spans="1:14" ht="14.25">
      <c r="A37" s="4" t="s">
        <v>164</v>
      </c>
      <c r="B37" s="23" t="s">
        <v>467</v>
      </c>
      <c r="C37" s="6" t="s">
        <v>468</v>
      </c>
      <c r="D37" s="175" t="s">
        <v>469</v>
      </c>
      <c r="E37" s="174" t="s">
        <v>470</v>
      </c>
      <c r="F37" s="15" t="s">
        <v>471</v>
      </c>
      <c r="G37" s="15" t="s">
        <v>472</v>
      </c>
      <c r="H37" s="19" t="s">
        <v>473</v>
      </c>
      <c r="I37" s="8" t="s">
        <v>474</v>
      </c>
      <c r="J37" s="8">
        <v>13</v>
      </c>
      <c r="K37" s="4" t="s">
        <v>475</v>
      </c>
      <c r="L37" s="10" t="s">
        <v>476</v>
      </c>
      <c r="M37" s="102" t="s">
        <v>477</v>
      </c>
      <c r="N37" s="4"/>
    </row>
    <row r="38" spans="1:14" ht="14.25">
      <c r="A38" s="4" t="s">
        <v>164</v>
      </c>
      <c r="B38" s="14" t="s">
        <v>478</v>
      </c>
      <c r="C38" s="6" t="s">
        <v>479</v>
      </c>
      <c r="D38" s="175" t="s">
        <v>480</v>
      </c>
      <c r="E38" s="174" t="s">
        <v>481</v>
      </c>
      <c r="F38" s="15" t="s">
        <v>482</v>
      </c>
      <c r="G38" s="15" t="s">
        <v>483</v>
      </c>
      <c r="H38" s="16" t="s">
        <v>484</v>
      </c>
      <c r="I38" s="8" t="s">
        <v>160</v>
      </c>
      <c r="J38" s="8">
        <v>5</v>
      </c>
      <c r="K38" s="4" t="s">
        <v>485</v>
      </c>
      <c r="L38" s="10" t="s">
        <v>486</v>
      </c>
      <c r="M38" s="102" t="s">
        <v>487</v>
      </c>
      <c r="N38" s="4"/>
    </row>
    <row r="39" spans="1:14" ht="14.25">
      <c r="A39" s="4" t="s">
        <v>164</v>
      </c>
      <c r="B39" s="14" t="s">
        <v>488</v>
      </c>
      <c r="C39" s="6" t="s">
        <v>489</v>
      </c>
      <c r="D39" s="175" t="s">
        <v>490</v>
      </c>
      <c r="E39" s="174" t="s">
        <v>491</v>
      </c>
      <c r="F39" s="15" t="s">
        <v>482</v>
      </c>
      <c r="G39" s="15" t="s">
        <v>483</v>
      </c>
      <c r="H39" s="19" t="s">
        <v>492</v>
      </c>
      <c r="I39" s="8" t="s">
        <v>160</v>
      </c>
      <c r="J39" s="8">
        <v>5</v>
      </c>
      <c r="K39" s="4" t="s">
        <v>493</v>
      </c>
      <c r="L39" s="10" t="s">
        <v>494</v>
      </c>
      <c r="M39" s="102" t="s">
        <v>495</v>
      </c>
      <c r="N39" s="4"/>
    </row>
    <row r="40" spans="1:14" ht="14.25">
      <c r="A40" s="4" t="s">
        <v>164</v>
      </c>
      <c r="B40" s="14" t="s">
        <v>496</v>
      </c>
      <c r="C40" s="6" t="s">
        <v>497</v>
      </c>
      <c r="D40" s="175" t="s">
        <v>498</v>
      </c>
      <c r="E40" s="174" t="s">
        <v>499</v>
      </c>
      <c r="F40" s="15" t="s">
        <v>500</v>
      </c>
      <c r="G40" s="15" t="s">
        <v>501</v>
      </c>
      <c r="H40" s="16" t="s">
        <v>502</v>
      </c>
      <c r="I40" s="8" t="s">
        <v>160</v>
      </c>
      <c r="J40" s="8">
        <v>6</v>
      </c>
      <c r="K40" s="4" t="s">
        <v>503</v>
      </c>
      <c r="L40" s="10" t="s">
        <v>504</v>
      </c>
      <c r="M40" s="102" t="s">
        <v>505</v>
      </c>
      <c r="N40" s="4"/>
    </row>
    <row r="41" spans="1:14" ht="14.25">
      <c r="A41" s="4" t="s">
        <v>164</v>
      </c>
      <c r="B41" s="14" t="s">
        <v>506</v>
      </c>
      <c r="C41" s="6" t="s">
        <v>507</v>
      </c>
      <c r="D41" s="175" t="s">
        <v>508</v>
      </c>
      <c r="E41" s="174" t="s">
        <v>509</v>
      </c>
      <c r="F41" s="15" t="s">
        <v>510</v>
      </c>
      <c r="G41" s="15" t="s">
        <v>511</v>
      </c>
      <c r="H41" s="19" t="s">
        <v>512</v>
      </c>
      <c r="I41" s="12" t="s">
        <v>220</v>
      </c>
      <c r="J41" s="8">
        <v>1</v>
      </c>
      <c r="K41" s="4" t="s">
        <v>182</v>
      </c>
      <c r="L41" s="24" t="s">
        <v>513</v>
      </c>
      <c r="M41" s="106" t="s">
        <v>514</v>
      </c>
      <c r="N41" s="4"/>
    </row>
    <row r="42" spans="1:14" ht="14.25">
      <c r="A42" s="4" t="s">
        <v>164</v>
      </c>
      <c r="B42" s="4" t="s">
        <v>515</v>
      </c>
      <c r="C42" s="6" t="s">
        <v>516</v>
      </c>
      <c r="D42" s="175" t="s">
        <v>517</v>
      </c>
      <c r="E42" s="173" t="s">
        <v>518</v>
      </c>
      <c r="F42" s="4" t="s">
        <v>519</v>
      </c>
      <c r="G42" s="4" t="s">
        <v>239</v>
      </c>
      <c r="H42" s="4" t="s">
        <v>159</v>
      </c>
      <c r="I42" s="8" t="s">
        <v>181</v>
      </c>
      <c r="J42" s="8">
        <v>7</v>
      </c>
      <c r="K42" s="4" t="s">
        <v>520</v>
      </c>
      <c r="L42" s="17" t="s">
        <v>521</v>
      </c>
      <c r="M42" s="102" t="s">
        <v>522</v>
      </c>
      <c r="N42" s="4"/>
    </row>
    <row r="43" spans="1:14" ht="14.25">
      <c r="A43" s="4" t="s">
        <v>164</v>
      </c>
      <c r="B43" s="4" t="s">
        <v>523</v>
      </c>
      <c r="C43" s="6" t="s">
        <v>524</v>
      </c>
      <c r="D43" s="175" t="s">
        <v>525</v>
      </c>
      <c r="E43" s="173" t="s">
        <v>526</v>
      </c>
      <c r="F43" s="4" t="s">
        <v>527</v>
      </c>
      <c r="G43" s="4" t="s">
        <v>528</v>
      </c>
      <c r="H43" s="7" t="s">
        <v>418</v>
      </c>
      <c r="I43" s="8" t="s">
        <v>181</v>
      </c>
      <c r="J43" s="8">
        <v>2</v>
      </c>
      <c r="K43" s="4" t="s">
        <v>182</v>
      </c>
      <c r="L43" s="25" t="s">
        <v>529</v>
      </c>
      <c r="M43" s="106" t="s">
        <v>330</v>
      </c>
      <c r="N43" s="4"/>
    </row>
    <row r="44" spans="1:14" ht="14.25">
      <c r="A44" s="4" t="s">
        <v>164</v>
      </c>
      <c r="B44" s="14" t="s">
        <v>530</v>
      </c>
      <c r="C44" s="6" t="s">
        <v>531</v>
      </c>
      <c r="D44" s="175" t="s">
        <v>532</v>
      </c>
      <c r="E44" s="174" t="s">
        <v>533</v>
      </c>
      <c r="F44" s="15" t="s">
        <v>534</v>
      </c>
      <c r="G44" s="15" t="s">
        <v>535</v>
      </c>
      <c r="H44" s="16" t="s">
        <v>484</v>
      </c>
      <c r="I44" s="8" t="s">
        <v>160</v>
      </c>
      <c r="J44" s="8">
        <v>3</v>
      </c>
      <c r="K44" s="4" t="s">
        <v>536</v>
      </c>
      <c r="L44" s="10" t="s">
        <v>537</v>
      </c>
      <c r="M44" s="102" t="s">
        <v>538</v>
      </c>
      <c r="N44" s="4"/>
    </row>
    <row r="45" spans="1:14" ht="14.25">
      <c r="A45" s="4" t="s">
        <v>164</v>
      </c>
      <c r="B45" s="14" t="s">
        <v>539</v>
      </c>
      <c r="C45" s="6" t="s">
        <v>540</v>
      </c>
      <c r="D45" s="175" t="s">
        <v>541</v>
      </c>
      <c r="E45" s="174" t="s">
        <v>542</v>
      </c>
      <c r="F45" s="15" t="s">
        <v>543</v>
      </c>
      <c r="G45" s="15" t="s">
        <v>258</v>
      </c>
      <c r="H45" s="19" t="s">
        <v>259</v>
      </c>
      <c r="I45" s="12" t="s">
        <v>220</v>
      </c>
      <c r="J45" s="26">
        <v>6</v>
      </c>
      <c r="K45" s="4" t="s">
        <v>544</v>
      </c>
      <c r="L45" s="10" t="s">
        <v>545</v>
      </c>
      <c r="M45" s="102" t="s">
        <v>546</v>
      </c>
      <c r="N45" s="4"/>
    </row>
    <row r="46" spans="1:14" ht="14.25">
      <c r="A46" s="4" t="s">
        <v>164</v>
      </c>
      <c r="B46" s="4" t="s">
        <v>547</v>
      </c>
      <c r="C46" s="6" t="s">
        <v>548</v>
      </c>
      <c r="D46" s="175" t="s">
        <v>549</v>
      </c>
      <c r="E46" s="173" t="s">
        <v>550</v>
      </c>
      <c r="F46" s="4" t="s">
        <v>551</v>
      </c>
      <c r="G46" s="4" t="s">
        <v>552</v>
      </c>
      <c r="H46" s="19" t="s">
        <v>553</v>
      </c>
      <c r="I46" s="8" t="s">
        <v>181</v>
      </c>
      <c r="J46" s="8">
        <v>7</v>
      </c>
      <c r="K46" s="4" t="s">
        <v>554</v>
      </c>
      <c r="L46" s="17" t="s">
        <v>555</v>
      </c>
      <c r="M46" s="102" t="s">
        <v>556</v>
      </c>
      <c r="N46" s="4"/>
    </row>
    <row r="47" spans="1:14" ht="14.25">
      <c r="A47" s="4" t="s">
        <v>164</v>
      </c>
      <c r="B47" s="14" t="s">
        <v>557</v>
      </c>
      <c r="C47" s="6" t="s">
        <v>558</v>
      </c>
      <c r="D47" s="175" t="s">
        <v>559</v>
      </c>
      <c r="E47" s="174" t="s">
        <v>560</v>
      </c>
      <c r="F47" s="15" t="s">
        <v>561</v>
      </c>
      <c r="G47" s="15" t="s">
        <v>562</v>
      </c>
      <c r="H47" s="19" t="s">
        <v>563</v>
      </c>
      <c r="I47" s="12" t="s">
        <v>220</v>
      </c>
      <c r="J47" s="8">
        <v>3</v>
      </c>
      <c r="K47" s="4" t="s">
        <v>564</v>
      </c>
      <c r="L47" s="10" t="s">
        <v>565</v>
      </c>
      <c r="M47" s="102" t="s">
        <v>566</v>
      </c>
      <c r="N47" s="4"/>
    </row>
    <row r="48" spans="1:14" ht="14.25">
      <c r="A48" s="4" t="s">
        <v>164</v>
      </c>
      <c r="B48" s="4" t="s">
        <v>567</v>
      </c>
      <c r="C48" s="6" t="s">
        <v>568</v>
      </c>
      <c r="D48" s="175" t="s">
        <v>569</v>
      </c>
      <c r="E48" s="173" t="s">
        <v>570</v>
      </c>
      <c r="F48" s="4" t="s">
        <v>571</v>
      </c>
      <c r="G48" s="4" t="s">
        <v>572</v>
      </c>
      <c r="H48" s="19" t="s">
        <v>249</v>
      </c>
      <c r="I48" s="8" t="s">
        <v>181</v>
      </c>
      <c r="J48" s="8">
        <v>5</v>
      </c>
      <c r="K48" s="4" t="s">
        <v>573</v>
      </c>
      <c r="L48" s="17" t="s">
        <v>574</v>
      </c>
      <c r="M48" s="102" t="s">
        <v>575</v>
      </c>
      <c r="N48" s="4"/>
    </row>
    <row r="49" spans="1:14" ht="14.25">
      <c r="A49" s="4" t="s">
        <v>164</v>
      </c>
      <c r="B49" s="14" t="s">
        <v>576</v>
      </c>
      <c r="C49" s="6" t="s">
        <v>577</v>
      </c>
      <c r="D49" s="175" t="s">
        <v>578</v>
      </c>
      <c r="E49" s="174" t="s">
        <v>579</v>
      </c>
      <c r="F49" s="15" t="s">
        <v>580</v>
      </c>
      <c r="G49" s="15" t="s">
        <v>581</v>
      </c>
      <c r="H49" s="19" t="s">
        <v>219</v>
      </c>
      <c r="I49" s="12" t="s">
        <v>220</v>
      </c>
      <c r="J49" s="8">
        <v>5</v>
      </c>
      <c r="K49" s="4" t="s">
        <v>582</v>
      </c>
      <c r="L49" s="10" t="s">
        <v>583</v>
      </c>
      <c r="M49" s="102" t="s">
        <v>584</v>
      </c>
      <c r="N49" s="4"/>
    </row>
    <row r="50" spans="1:14" ht="14.25">
      <c r="A50" s="4" t="s">
        <v>164</v>
      </c>
      <c r="B50" s="4" t="s">
        <v>585</v>
      </c>
      <c r="C50" s="6" t="s">
        <v>586</v>
      </c>
      <c r="D50" s="175" t="s">
        <v>587</v>
      </c>
      <c r="E50" s="173" t="s">
        <v>588</v>
      </c>
      <c r="F50" s="4" t="s">
        <v>589</v>
      </c>
      <c r="G50" s="4" t="s">
        <v>590</v>
      </c>
      <c r="H50" s="7" t="s">
        <v>591</v>
      </c>
      <c r="I50" s="8" t="s">
        <v>181</v>
      </c>
      <c r="J50" s="8">
        <v>4</v>
      </c>
      <c r="K50" s="4" t="s">
        <v>592</v>
      </c>
      <c r="L50" s="17" t="s">
        <v>593</v>
      </c>
      <c r="M50" s="102" t="s">
        <v>594</v>
      </c>
      <c r="N50" s="4"/>
    </row>
    <row r="51" spans="1:14" ht="14.25">
      <c r="A51" s="4" t="s">
        <v>164</v>
      </c>
      <c r="B51" s="4" t="s">
        <v>595</v>
      </c>
      <c r="C51" s="6" t="s">
        <v>596</v>
      </c>
      <c r="D51" s="175" t="s">
        <v>597</v>
      </c>
      <c r="E51" s="173" t="s">
        <v>598</v>
      </c>
      <c r="F51" s="4" t="s">
        <v>599</v>
      </c>
      <c r="G51" s="4" t="s">
        <v>600</v>
      </c>
      <c r="H51" s="19" t="s">
        <v>601</v>
      </c>
      <c r="I51" s="8" t="s">
        <v>181</v>
      </c>
      <c r="J51" s="8">
        <v>4</v>
      </c>
      <c r="K51" s="4" t="s">
        <v>602</v>
      </c>
      <c r="L51" s="17" t="s">
        <v>603</v>
      </c>
      <c r="M51" s="102" t="s">
        <v>604</v>
      </c>
      <c r="N51" s="4"/>
    </row>
    <row r="52" spans="1:14" ht="14.25">
      <c r="A52" s="4" t="s">
        <v>164</v>
      </c>
      <c r="B52" s="4" t="s">
        <v>605</v>
      </c>
      <c r="C52" s="6" t="s">
        <v>606</v>
      </c>
      <c r="D52" s="175" t="s">
        <v>607</v>
      </c>
      <c r="E52" s="174" t="s">
        <v>608</v>
      </c>
      <c r="F52" s="15" t="s">
        <v>609</v>
      </c>
      <c r="G52" s="15" t="s">
        <v>610</v>
      </c>
      <c r="H52" s="16" t="s">
        <v>484</v>
      </c>
      <c r="I52" s="8" t="s">
        <v>160</v>
      </c>
      <c r="J52" s="8">
        <v>4</v>
      </c>
      <c r="K52" s="4" t="s">
        <v>611</v>
      </c>
      <c r="L52" s="10" t="s">
        <v>612</v>
      </c>
      <c r="M52" s="102" t="s">
        <v>613</v>
      </c>
      <c r="N52" s="4"/>
    </row>
    <row r="53" spans="1:14" ht="14.25">
      <c r="A53" s="4" t="s">
        <v>164</v>
      </c>
      <c r="B53" s="14" t="s">
        <v>614</v>
      </c>
      <c r="C53" s="6" t="s">
        <v>615</v>
      </c>
      <c r="D53" s="175" t="s">
        <v>616</v>
      </c>
      <c r="E53" s="174" t="s">
        <v>617</v>
      </c>
      <c r="F53" s="15" t="s">
        <v>618</v>
      </c>
      <c r="G53" s="15" t="s">
        <v>170</v>
      </c>
      <c r="H53" s="19" t="s">
        <v>619</v>
      </c>
      <c r="I53" s="8" t="s">
        <v>160</v>
      </c>
      <c r="J53" s="8">
        <v>4</v>
      </c>
      <c r="K53" s="4" t="s">
        <v>620</v>
      </c>
      <c r="L53" s="10" t="s">
        <v>621</v>
      </c>
      <c r="M53" s="102" t="s">
        <v>622</v>
      </c>
      <c r="N53" s="4"/>
    </row>
    <row r="54" spans="1:14" ht="14.25">
      <c r="A54" s="4" t="s">
        <v>300</v>
      </c>
      <c r="B54" s="4" t="s">
        <v>623</v>
      </c>
      <c r="C54" s="6" t="s">
        <v>624</v>
      </c>
      <c r="D54" s="175" t="s">
        <v>625</v>
      </c>
      <c r="E54" s="173" t="s">
        <v>626</v>
      </c>
      <c r="F54" s="4" t="s">
        <v>627</v>
      </c>
      <c r="G54" s="4" t="s">
        <v>628</v>
      </c>
      <c r="H54" s="19" t="s">
        <v>601</v>
      </c>
      <c r="I54" s="8" t="s">
        <v>181</v>
      </c>
      <c r="J54" s="8">
        <v>5</v>
      </c>
      <c r="K54" s="4" t="s">
        <v>629</v>
      </c>
      <c r="L54" s="17" t="s">
        <v>630</v>
      </c>
      <c r="M54" s="105" t="s">
        <v>631</v>
      </c>
      <c r="N54" s="4"/>
    </row>
    <row r="55" spans="1:14" ht="14.25">
      <c r="A55" s="4" t="s">
        <v>164</v>
      </c>
      <c r="B55" s="4" t="s">
        <v>632</v>
      </c>
      <c r="C55" s="6" t="s">
        <v>633</v>
      </c>
      <c r="D55" s="175" t="s">
        <v>634</v>
      </c>
      <c r="E55" s="173" t="s">
        <v>635</v>
      </c>
      <c r="F55" s="4" t="s">
        <v>636</v>
      </c>
      <c r="G55" s="4" t="s">
        <v>637</v>
      </c>
      <c r="H55" s="19" t="s">
        <v>601</v>
      </c>
      <c r="I55" s="8" t="s">
        <v>181</v>
      </c>
      <c r="J55" s="8">
        <v>6</v>
      </c>
      <c r="K55" s="4" t="s">
        <v>638</v>
      </c>
      <c r="L55" s="17" t="s">
        <v>639</v>
      </c>
      <c r="M55" s="102" t="s">
        <v>640</v>
      </c>
      <c r="N55" s="4"/>
    </row>
    <row r="56" spans="1:14" ht="14.25">
      <c r="A56" s="4" t="s">
        <v>164</v>
      </c>
      <c r="B56" s="4" t="s">
        <v>641</v>
      </c>
      <c r="C56" s="6" t="s">
        <v>642</v>
      </c>
      <c r="D56" s="175" t="s">
        <v>643</v>
      </c>
      <c r="E56" s="173" t="s">
        <v>644</v>
      </c>
      <c r="F56" s="4" t="s">
        <v>645</v>
      </c>
      <c r="G56" s="4" t="s">
        <v>646</v>
      </c>
      <c r="H56" s="19" t="s">
        <v>601</v>
      </c>
      <c r="I56" s="8" t="s">
        <v>181</v>
      </c>
      <c r="J56" s="8">
        <v>6</v>
      </c>
      <c r="K56" s="4" t="s">
        <v>647</v>
      </c>
      <c r="L56" s="17" t="s">
        <v>648</v>
      </c>
      <c r="M56" s="102" t="s">
        <v>649</v>
      </c>
      <c r="N56" s="4"/>
    </row>
    <row r="57" spans="1:14" ht="14.25">
      <c r="A57" s="4" t="s">
        <v>164</v>
      </c>
      <c r="B57" s="14" t="s">
        <v>650</v>
      </c>
      <c r="C57" s="6" t="s">
        <v>651</v>
      </c>
      <c r="D57" s="321" t="s">
        <v>652</v>
      </c>
      <c r="E57" s="174" t="s">
        <v>653</v>
      </c>
      <c r="F57" s="15" t="s">
        <v>654</v>
      </c>
      <c r="G57" s="15" t="s">
        <v>655</v>
      </c>
      <c r="H57" s="19" t="s">
        <v>656</v>
      </c>
      <c r="I57" s="12" t="s">
        <v>220</v>
      </c>
      <c r="J57" s="8">
        <v>6</v>
      </c>
      <c r="K57" s="4" t="s">
        <v>657</v>
      </c>
      <c r="L57" s="10" t="s">
        <v>658</v>
      </c>
      <c r="M57" s="102" t="s">
        <v>659</v>
      </c>
      <c r="N57" s="4"/>
    </row>
    <row r="58" spans="1:14" ht="9" customHeight="1">
      <c r="A58" s="369"/>
      <c r="B58" s="370"/>
      <c r="C58" s="370"/>
      <c r="D58" s="370"/>
      <c r="E58" s="370"/>
      <c r="F58" s="370"/>
      <c r="G58" s="370"/>
      <c r="H58" s="370"/>
      <c r="I58" s="370"/>
      <c r="J58" s="370"/>
      <c r="K58" s="370"/>
      <c r="L58" s="370"/>
      <c r="M58" s="370"/>
      <c r="N58" s="370"/>
    </row>
    <row r="59" spans="1:14" ht="14.25">
      <c r="A59" s="4" t="s">
        <v>300</v>
      </c>
      <c r="B59" s="5"/>
      <c r="C59" s="27" t="s">
        <v>660</v>
      </c>
      <c r="D59" s="107" t="s">
        <v>661</v>
      </c>
      <c r="E59" s="107" t="s">
        <v>662</v>
      </c>
      <c r="F59" s="27" t="s">
        <v>663</v>
      </c>
      <c r="G59" s="27" t="s">
        <v>664</v>
      </c>
      <c r="H59" s="27" t="s">
        <v>664</v>
      </c>
      <c r="I59" s="8" t="s">
        <v>181</v>
      </c>
      <c r="J59" s="8"/>
      <c r="K59" s="27"/>
      <c r="L59" s="27"/>
      <c r="M59" s="8"/>
      <c r="N59" s="6"/>
    </row>
    <row r="60" spans="1:14" ht="14.25">
      <c r="A60" s="4" t="s">
        <v>164</v>
      </c>
      <c r="B60" s="5"/>
      <c r="C60" s="27" t="s">
        <v>665</v>
      </c>
      <c r="D60" s="107" t="s">
        <v>666</v>
      </c>
      <c r="E60" s="107" t="s">
        <v>667</v>
      </c>
      <c r="F60" s="27" t="s">
        <v>668</v>
      </c>
      <c r="G60" s="27" t="s">
        <v>664</v>
      </c>
      <c r="H60" s="27" t="s">
        <v>664</v>
      </c>
      <c r="I60" s="8" t="s">
        <v>181</v>
      </c>
      <c r="J60" s="8"/>
      <c r="K60" s="27" t="s">
        <v>669</v>
      </c>
      <c r="L60" s="27" t="s">
        <v>670</v>
      </c>
      <c r="M60" s="8"/>
      <c r="N60" s="6"/>
    </row>
    <row r="61" spans="1:14" ht="14.25">
      <c r="A61" s="4" t="s">
        <v>164</v>
      </c>
      <c r="B61" s="5"/>
      <c r="C61" s="27" t="s">
        <v>671</v>
      </c>
      <c r="D61" s="107" t="s">
        <v>672</v>
      </c>
      <c r="E61" s="107" t="s">
        <v>673</v>
      </c>
      <c r="F61" s="27" t="s">
        <v>674</v>
      </c>
      <c r="G61" s="27" t="s">
        <v>675</v>
      </c>
      <c r="H61" s="27" t="s">
        <v>664</v>
      </c>
      <c r="I61" s="8" t="s">
        <v>181</v>
      </c>
      <c r="J61" s="8"/>
      <c r="K61" s="27"/>
      <c r="L61" s="27"/>
      <c r="M61" s="8"/>
      <c r="N61" s="6"/>
    </row>
    <row r="62" spans="1:14" ht="14.25">
      <c r="A62" s="4" t="s">
        <v>300</v>
      </c>
      <c r="B62" s="5"/>
      <c r="C62" s="27" t="s">
        <v>676</v>
      </c>
      <c r="D62" s="107" t="s">
        <v>677</v>
      </c>
      <c r="E62" s="107" t="s">
        <v>678</v>
      </c>
      <c r="F62" s="27" t="s">
        <v>679</v>
      </c>
      <c r="G62" s="27" t="s">
        <v>680</v>
      </c>
      <c r="H62" s="27" t="s">
        <v>552</v>
      </c>
      <c r="I62" s="8" t="s">
        <v>181</v>
      </c>
      <c r="J62" s="8"/>
      <c r="K62" s="27"/>
      <c r="L62" s="27"/>
      <c r="M62" s="8"/>
      <c r="N62" s="6"/>
    </row>
    <row r="63" spans="1:14" ht="14.25">
      <c r="A63" s="4" t="s">
        <v>300</v>
      </c>
      <c r="B63" s="5"/>
      <c r="C63" s="27" t="s">
        <v>681</v>
      </c>
      <c r="D63" s="107" t="s">
        <v>682</v>
      </c>
      <c r="E63" s="107" t="s">
        <v>683</v>
      </c>
      <c r="F63" s="27" t="s">
        <v>684</v>
      </c>
      <c r="G63" s="27" t="s">
        <v>685</v>
      </c>
      <c r="H63" s="27" t="s">
        <v>501</v>
      </c>
      <c r="I63" s="8" t="s">
        <v>160</v>
      </c>
      <c r="J63" s="8"/>
      <c r="K63" s="27"/>
      <c r="L63" s="27"/>
      <c r="M63" s="8"/>
      <c r="N63" s="6"/>
    </row>
    <row r="64" spans="1:14" ht="14.25">
      <c r="A64" s="4" t="s">
        <v>164</v>
      </c>
      <c r="B64" s="5"/>
      <c r="C64" s="27" t="s">
        <v>686</v>
      </c>
      <c r="D64" s="107" t="s">
        <v>687</v>
      </c>
      <c r="E64" s="107" t="s">
        <v>688</v>
      </c>
      <c r="F64" s="27" t="s">
        <v>689</v>
      </c>
      <c r="G64" s="27" t="s">
        <v>690</v>
      </c>
      <c r="H64" s="27" t="s">
        <v>691</v>
      </c>
      <c r="I64" s="8" t="s">
        <v>220</v>
      </c>
      <c r="J64" s="8"/>
      <c r="K64" s="27" t="s">
        <v>692</v>
      </c>
      <c r="L64" s="27" t="s">
        <v>693</v>
      </c>
      <c r="M64" s="227"/>
      <c r="N64" s="228"/>
    </row>
    <row r="65" spans="1:14" ht="14.25">
      <c r="A65" s="4" t="s">
        <v>300</v>
      </c>
      <c r="B65" s="5"/>
      <c r="C65" s="27" t="s">
        <v>694</v>
      </c>
      <c r="D65" s="107" t="s">
        <v>695</v>
      </c>
      <c r="E65" s="107" t="s">
        <v>696</v>
      </c>
      <c r="F65" s="27" t="s">
        <v>697</v>
      </c>
      <c r="G65" s="27" t="s">
        <v>698</v>
      </c>
      <c r="H65" s="27" t="s">
        <v>699</v>
      </c>
      <c r="I65" s="8" t="s">
        <v>220</v>
      </c>
      <c r="J65" s="8"/>
      <c r="K65" s="27"/>
      <c r="L65" s="226"/>
      <c r="M65" s="199"/>
      <c r="N65" s="199"/>
    </row>
    <row r="66" spans="1:14" ht="14.25">
      <c r="A66" s="4" t="s">
        <v>164</v>
      </c>
      <c r="B66" s="5"/>
      <c r="C66" s="27" t="s">
        <v>700</v>
      </c>
      <c r="D66" s="107" t="s">
        <v>701</v>
      </c>
      <c r="E66" s="107" t="s">
        <v>702</v>
      </c>
      <c r="F66" s="27" t="s">
        <v>703</v>
      </c>
      <c r="G66" s="27" t="s">
        <v>704</v>
      </c>
      <c r="H66" s="27" t="s">
        <v>705</v>
      </c>
      <c r="I66" s="8" t="s">
        <v>474</v>
      </c>
      <c r="J66" s="8"/>
      <c r="K66" s="27"/>
      <c r="L66" s="226"/>
      <c r="M66" s="199"/>
      <c r="N66" s="199"/>
    </row>
    <row r="67" spans="1:14" ht="14.25">
      <c r="A67" s="4" t="s">
        <v>164</v>
      </c>
      <c r="B67" s="5"/>
      <c r="C67" s="27" t="s">
        <v>706</v>
      </c>
      <c r="D67" s="107" t="s">
        <v>707</v>
      </c>
      <c r="E67" s="107" t="s">
        <v>708</v>
      </c>
      <c r="F67" s="27" t="s">
        <v>709</v>
      </c>
      <c r="G67" s="27" t="s">
        <v>710</v>
      </c>
      <c r="H67" s="27" t="s">
        <v>711</v>
      </c>
      <c r="I67" s="8" t="s">
        <v>220</v>
      </c>
      <c r="J67" s="8"/>
      <c r="K67" s="27" t="s">
        <v>712</v>
      </c>
      <c r="L67" s="226" t="s">
        <v>713</v>
      </c>
      <c r="M67" s="199"/>
      <c r="N67" s="199"/>
    </row>
    <row r="68" spans="1:14" ht="14.25">
      <c r="A68" s="4" t="s">
        <v>164</v>
      </c>
      <c r="B68" s="5"/>
      <c r="C68" s="27" t="s">
        <v>714</v>
      </c>
      <c r="D68" s="107" t="s">
        <v>715</v>
      </c>
      <c r="E68" s="107" t="s">
        <v>716</v>
      </c>
      <c r="F68" s="27" t="s">
        <v>717</v>
      </c>
      <c r="G68" s="27" t="s">
        <v>718</v>
      </c>
      <c r="H68" s="27" t="s">
        <v>552</v>
      </c>
      <c r="I68" s="8" t="s">
        <v>181</v>
      </c>
      <c r="J68" s="8"/>
      <c r="K68" s="27" t="s">
        <v>719</v>
      </c>
      <c r="L68" s="226" t="s">
        <v>720</v>
      </c>
      <c r="M68" s="199"/>
      <c r="N68" s="199"/>
    </row>
    <row r="69" spans="1:14" ht="14.25">
      <c r="A69" s="4" t="s">
        <v>300</v>
      </c>
      <c r="B69" s="5"/>
      <c r="C69" s="27" t="s">
        <v>721</v>
      </c>
      <c r="D69" s="107" t="s">
        <v>722</v>
      </c>
      <c r="E69" s="107" t="s">
        <v>723</v>
      </c>
      <c r="F69" s="27" t="s">
        <v>724</v>
      </c>
      <c r="G69" s="27" t="s">
        <v>725</v>
      </c>
      <c r="H69" s="27" t="s">
        <v>552</v>
      </c>
      <c r="I69" s="8" t="s">
        <v>181</v>
      </c>
      <c r="J69" s="8"/>
      <c r="K69" s="27"/>
      <c r="L69" s="226"/>
      <c r="M69" s="199"/>
      <c r="N69" s="199"/>
    </row>
    <row r="70" spans="1:14" ht="14.25">
      <c r="A70" s="4" t="s">
        <v>164</v>
      </c>
      <c r="B70" s="5"/>
      <c r="C70" s="27" t="s">
        <v>726</v>
      </c>
      <c r="D70" s="107" t="s">
        <v>727</v>
      </c>
      <c r="E70" s="107" t="s">
        <v>728</v>
      </c>
      <c r="F70" s="27" t="s">
        <v>729</v>
      </c>
      <c r="G70" s="27" t="s">
        <v>239</v>
      </c>
      <c r="H70" s="27" t="s">
        <v>730</v>
      </c>
      <c r="I70" s="8" t="s">
        <v>181</v>
      </c>
      <c r="J70" s="8"/>
      <c r="K70" s="27" t="s">
        <v>36</v>
      </c>
      <c r="L70" s="226" t="s">
        <v>731</v>
      </c>
      <c r="M70" s="199"/>
      <c r="N70" s="199"/>
    </row>
    <row r="71" spans="1:14" ht="14.25">
      <c r="A71" s="4" t="s">
        <v>164</v>
      </c>
      <c r="B71" s="5"/>
      <c r="C71" s="27" t="s">
        <v>732</v>
      </c>
      <c r="D71" s="107" t="s">
        <v>278</v>
      </c>
      <c r="E71" s="107" t="s">
        <v>733</v>
      </c>
      <c r="F71" s="27" t="s">
        <v>734</v>
      </c>
      <c r="G71" s="27" t="s">
        <v>735</v>
      </c>
      <c r="H71" s="27" t="s">
        <v>278</v>
      </c>
      <c r="I71" s="8" t="s">
        <v>192</v>
      </c>
      <c r="J71" s="8"/>
      <c r="K71" s="27" t="s">
        <v>736</v>
      </c>
      <c r="L71" s="226" t="s">
        <v>737</v>
      </c>
      <c r="M71" s="199"/>
      <c r="N71" s="199"/>
    </row>
    <row r="72" spans="1:14" ht="14.25">
      <c r="A72" s="4" t="s">
        <v>164</v>
      </c>
      <c r="B72" s="5"/>
      <c r="C72" s="27" t="s">
        <v>738</v>
      </c>
      <c r="D72" s="107" t="s">
        <v>739</v>
      </c>
      <c r="E72" s="108" t="s">
        <v>740</v>
      </c>
      <c r="F72" s="11" t="s">
        <v>741</v>
      </c>
      <c r="G72" s="27">
        <v>1</v>
      </c>
      <c r="H72" s="27" t="s">
        <v>742</v>
      </c>
      <c r="I72" s="8" t="s">
        <v>181</v>
      </c>
      <c r="J72" s="8"/>
      <c r="K72" s="27"/>
      <c r="L72" s="226"/>
      <c r="M72" s="199"/>
      <c r="N72" s="199"/>
    </row>
    <row r="73" spans="1:14" ht="14.25">
      <c r="A73" s="4" t="s">
        <v>164</v>
      </c>
      <c r="B73" s="5"/>
      <c r="C73" s="27" t="s">
        <v>743</v>
      </c>
      <c r="D73" s="107" t="s">
        <v>744</v>
      </c>
      <c r="E73" s="107" t="s">
        <v>745</v>
      </c>
      <c r="F73" s="27" t="s">
        <v>746</v>
      </c>
      <c r="G73" s="27" t="s">
        <v>747</v>
      </c>
      <c r="H73" s="27" t="s">
        <v>278</v>
      </c>
      <c r="I73" s="8" t="s">
        <v>192</v>
      </c>
      <c r="J73" s="8"/>
      <c r="K73" s="27"/>
      <c r="L73" s="226"/>
      <c r="M73" s="199"/>
      <c r="N73" s="199"/>
    </row>
    <row r="74" spans="1:14" ht="14.25">
      <c r="A74" s="4" t="s">
        <v>164</v>
      </c>
      <c r="B74" s="5"/>
      <c r="C74" s="27" t="s">
        <v>748</v>
      </c>
      <c r="D74" s="107" t="s">
        <v>749</v>
      </c>
      <c r="E74" s="107" t="s">
        <v>750</v>
      </c>
      <c r="F74" s="27" t="s">
        <v>751</v>
      </c>
      <c r="G74" s="27" t="s">
        <v>752</v>
      </c>
      <c r="H74" s="27" t="s">
        <v>753</v>
      </c>
      <c r="I74" s="8" t="s">
        <v>181</v>
      </c>
      <c r="J74" s="8"/>
      <c r="K74" s="27" t="s">
        <v>754</v>
      </c>
      <c r="L74" s="226" t="s">
        <v>755</v>
      </c>
      <c r="M74" s="199"/>
      <c r="N74" s="199"/>
    </row>
    <row r="75" spans="1:14" ht="14.25">
      <c r="A75" s="4" t="s">
        <v>164</v>
      </c>
      <c r="B75" s="270"/>
      <c r="C75" s="271"/>
      <c r="D75" s="271" t="s">
        <v>756</v>
      </c>
      <c r="E75" s="272" t="s">
        <v>757</v>
      </c>
      <c r="F75" s="27" t="s">
        <v>758</v>
      </c>
      <c r="G75" s="27" t="s">
        <v>759</v>
      </c>
      <c r="H75" s="27" t="s">
        <v>760</v>
      </c>
      <c r="I75" s="8" t="s">
        <v>181</v>
      </c>
      <c r="J75" s="8"/>
      <c r="K75" s="27"/>
      <c r="L75" s="226"/>
      <c r="M75" s="199"/>
      <c r="N75" s="199"/>
    </row>
    <row r="76" spans="1:14" ht="15">
      <c r="A76" s="276" t="s">
        <v>164</v>
      </c>
      <c r="B76" s="5"/>
      <c r="C76" s="27"/>
      <c r="D76" s="273"/>
      <c r="E76" s="107" t="s">
        <v>761</v>
      </c>
      <c r="F76" s="277" t="s">
        <v>762</v>
      </c>
      <c r="G76" s="271" t="s">
        <v>763</v>
      </c>
      <c r="H76" s="271" t="s">
        <v>760</v>
      </c>
      <c r="I76" s="227" t="s">
        <v>181</v>
      </c>
      <c r="J76" s="227"/>
      <c r="K76" s="271"/>
      <c r="L76" s="271"/>
      <c r="N76" s="164" t="s">
        <v>764</v>
      </c>
    </row>
    <row r="77" spans="1:14" ht="16.5">
      <c r="A77" s="276" t="s">
        <v>164</v>
      </c>
      <c r="B77" s="274" t="s">
        <v>765</v>
      </c>
      <c r="C77" s="27"/>
      <c r="D77" s="275" t="s">
        <v>766</v>
      </c>
      <c r="E77" s="174" t="s">
        <v>444</v>
      </c>
      <c r="F77" s="15" t="s">
        <v>445</v>
      </c>
      <c r="G77" s="15" t="s">
        <v>446</v>
      </c>
      <c r="H77" s="19" t="s">
        <v>317</v>
      </c>
      <c r="I77" s="12" t="s">
        <v>192</v>
      </c>
      <c r="J77" s="8"/>
      <c r="K77" s="27"/>
      <c r="L77" s="27"/>
      <c r="M77" s="199"/>
      <c r="N77" s="269"/>
    </row>
    <row r="78" spans="1:14" ht="16.5">
      <c r="A78" s="276" t="s">
        <v>164</v>
      </c>
      <c r="B78" s="274" t="s">
        <v>767</v>
      </c>
      <c r="C78" s="27"/>
      <c r="D78" s="275" t="s">
        <v>768</v>
      </c>
      <c r="E78" s="174" t="s">
        <v>444</v>
      </c>
      <c r="F78" s="15" t="s">
        <v>769</v>
      </c>
      <c r="G78" s="15" t="s">
        <v>446</v>
      </c>
      <c r="H78" s="19" t="s">
        <v>317</v>
      </c>
      <c r="I78" s="12" t="s">
        <v>192</v>
      </c>
      <c r="J78" s="8"/>
      <c r="K78" s="27"/>
      <c r="L78" s="27"/>
      <c r="M78" s="199"/>
      <c r="N78" s="269"/>
    </row>
    <row r="79" spans="1:14" ht="16.5">
      <c r="A79" s="276" t="s">
        <v>164</v>
      </c>
      <c r="B79" s="274" t="s">
        <v>770</v>
      </c>
      <c r="C79" s="27"/>
      <c r="D79" s="275" t="s">
        <v>771</v>
      </c>
      <c r="E79" s="174" t="s">
        <v>444</v>
      </c>
      <c r="F79" s="15" t="s">
        <v>772</v>
      </c>
      <c r="G79" s="15" t="s">
        <v>446</v>
      </c>
      <c r="H79" s="19" t="s">
        <v>317</v>
      </c>
      <c r="I79" s="12" t="s">
        <v>192</v>
      </c>
      <c r="J79" s="8"/>
      <c r="K79" s="27"/>
      <c r="L79" s="27"/>
      <c r="M79" s="199"/>
      <c r="N79" s="269"/>
    </row>
    <row r="80" spans="1:14" ht="16.5">
      <c r="A80" s="276" t="s">
        <v>164</v>
      </c>
      <c r="B80" s="274" t="s">
        <v>773</v>
      </c>
      <c r="C80" s="27"/>
      <c r="D80" s="275" t="s">
        <v>774</v>
      </c>
      <c r="E80" s="174" t="s">
        <v>444</v>
      </c>
      <c r="F80" s="15" t="s">
        <v>775</v>
      </c>
      <c r="G80" s="15" t="s">
        <v>446</v>
      </c>
      <c r="H80" s="19" t="s">
        <v>317</v>
      </c>
      <c r="I80" s="12" t="s">
        <v>192</v>
      </c>
      <c r="J80" s="8"/>
      <c r="K80" s="27"/>
      <c r="L80" s="27"/>
      <c r="M80" s="199"/>
      <c r="N80" s="269"/>
    </row>
    <row r="81" spans="1:14" ht="16.5">
      <c r="A81" s="276" t="s">
        <v>164</v>
      </c>
      <c r="B81" s="274" t="s">
        <v>776</v>
      </c>
      <c r="C81" s="27"/>
      <c r="D81" s="275" t="s">
        <v>777</v>
      </c>
      <c r="E81" s="174" t="s">
        <v>444</v>
      </c>
      <c r="F81" s="15" t="s">
        <v>778</v>
      </c>
      <c r="G81" s="15" t="s">
        <v>446</v>
      </c>
      <c r="H81" s="19" t="s">
        <v>317</v>
      </c>
      <c r="I81" s="12" t="s">
        <v>192</v>
      </c>
      <c r="J81" s="8"/>
      <c r="K81" s="27"/>
      <c r="L81" s="27"/>
      <c r="M81" s="199"/>
      <c r="N81" s="269"/>
    </row>
    <row r="82" spans="1:14" ht="16.5">
      <c r="A82" s="276" t="s">
        <v>164</v>
      </c>
      <c r="B82" s="274" t="s">
        <v>779</v>
      </c>
      <c r="C82" s="27"/>
      <c r="D82" s="275" t="s">
        <v>780</v>
      </c>
      <c r="E82" s="174" t="s">
        <v>444</v>
      </c>
      <c r="F82" s="15" t="s">
        <v>781</v>
      </c>
      <c r="G82" s="15" t="s">
        <v>446</v>
      </c>
      <c r="H82" s="19" t="s">
        <v>317</v>
      </c>
      <c r="I82" s="12" t="s">
        <v>192</v>
      </c>
      <c r="J82" s="8"/>
      <c r="K82" s="27"/>
      <c r="L82" s="27"/>
      <c r="M82" s="199"/>
      <c r="N82" s="269"/>
    </row>
    <row r="83" spans="1:14" ht="16.5">
      <c r="A83" s="276" t="s">
        <v>164</v>
      </c>
      <c r="B83" s="274" t="s">
        <v>782</v>
      </c>
      <c r="C83" s="27"/>
      <c r="D83" s="275" t="s">
        <v>783</v>
      </c>
      <c r="E83" s="174" t="s">
        <v>444</v>
      </c>
      <c r="F83" s="15" t="s">
        <v>784</v>
      </c>
      <c r="G83" s="15" t="s">
        <v>446</v>
      </c>
      <c r="H83" s="19" t="s">
        <v>317</v>
      </c>
      <c r="I83" s="12" t="s">
        <v>192</v>
      </c>
      <c r="J83" s="8"/>
      <c r="K83" s="27"/>
      <c r="L83" s="27"/>
      <c r="M83" s="199"/>
      <c r="N83" s="269"/>
    </row>
    <row r="84" spans="1:14" ht="16.5">
      <c r="A84" s="276" t="s">
        <v>164</v>
      </c>
      <c r="B84" s="274" t="s">
        <v>785</v>
      </c>
      <c r="C84" s="27"/>
      <c r="D84" s="275" t="s">
        <v>786</v>
      </c>
      <c r="E84" s="174" t="s">
        <v>444</v>
      </c>
      <c r="F84" s="15" t="s">
        <v>787</v>
      </c>
      <c r="G84" s="15" t="s">
        <v>446</v>
      </c>
      <c r="H84" s="19" t="s">
        <v>317</v>
      </c>
      <c r="I84" s="12" t="s">
        <v>192</v>
      </c>
      <c r="J84" s="8"/>
      <c r="K84" s="27"/>
      <c r="L84" s="27"/>
      <c r="M84" s="199"/>
      <c r="N84" s="269"/>
    </row>
    <row r="85" spans="1:14" ht="16.5">
      <c r="A85" s="276" t="s">
        <v>164</v>
      </c>
      <c r="B85" s="274" t="s">
        <v>788</v>
      </c>
      <c r="C85" s="27"/>
      <c r="D85" s="275" t="s">
        <v>789</v>
      </c>
      <c r="E85" s="174" t="s">
        <v>444</v>
      </c>
      <c r="F85" s="15" t="s">
        <v>790</v>
      </c>
      <c r="G85" s="15" t="s">
        <v>446</v>
      </c>
      <c r="H85" s="19" t="s">
        <v>317</v>
      </c>
      <c r="I85" s="12" t="s">
        <v>192</v>
      </c>
      <c r="J85" s="8"/>
      <c r="K85" s="27"/>
      <c r="L85" s="27"/>
      <c r="M85" s="199"/>
      <c r="N85" s="269"/>
    </row>
    <row r="86" spans="1:14" ht="16.5">
      <c r="A86" s="276" t="s">
        <v>164</v>
      </c>
      <c r="B86" s="274" t="s">
        <v>791</v>
      </c>
      <c r="C86" s="27"/>
      <c r="D86" s="275" t="s">
        <v>792</v>
      </c>
      <c r="E86" s="174" t="s">
        <v>444</v>
      </c>
      <c r="F86" s="15" t="s">
        <v>793</v>
      </c>
      <c r="G86" s="15" t="s">
        <v>446</v>
      </c>
      <c r="H86" s="19" t="s">
        <v>317</v>
      </c>
      <c r="I86" s="12" t="s">
        <v>192</v>
      </c>
      <c r="J86" s="8"/>
      <c r="K86" s="27"/>
      <c r="L86" s="27"/>
      <c r="M86" s="199"/>
      <c r="N86" s="269"/>
    </row>
    <row r="87" spans="1:14" ht="16.5">
      <c r="A87" s="276" t="s">
        <v>164</v>
      </c>
      <c r="B87" s="274" t="s">
        <v>794</v>
      </c>
      <c r="C87" s="27"/>
      <c r="D87" s="275" t="s">
        <v>795</v>
      </c>
      <c r="E87" s="174" t="s">
        <v>444</v>
      </c>
      <c r="F87" s="15" t="s">
        <v>796</v>
      </c>
      <c r="G87" s="15" t="s">
        <v>446</v>
      </c>
      <c r="H87" s="19" t="s">
        <v>317</v>
      </c>
      <c r="I87" s="12" t="s">
        <v>192</v>
      </c>
      <c r="J87" s="8"/>
      <c r="K87" s="27"/>
      <c r="L87" s="27"/>
      <c r="M87" s="199"/>
      <c r="N87" s="269"/>
    </row>
    <row r="88" spans="1:14" ht="16.5">
      <c r="A88" s="276" t="s">
        <v>164</v>
      </c>
      <c r="B88" s="274" t="s">
        <v>797</v>
      </c>
      <c r="C88" s="27"/>
      <c r="D88" s="275" t="s">
        <v>798</v>
      </c>
      <c r="E88" s="174" t="s">
        <v>444</v>
      </c>
      <c r="F88" s="15" t="s">
        <v>799</v>
      </c>
      <c r="G88" s="15" t="s">
        <v>446</v>
      </c>
      <c r="H88" s="19" t="s">
        <v>317</v>
      </c>
      <c r="I88" s="12" t="s">
        <v>192</v>
      </c>
      <c r="J88" s="8"/>
      <c r="K88" s="27"/>
      <c r="L88" s="27"/>
      <c r="M88" s="199"/>
      <c r="N88" s="269"/>
    </row>
    <row r="89" spans="1:14" ht="14.25">
      <c r="A89" s="4"/>
      <c r="B89" s="179"/>
      <c r="C89" s="278"/>
      <c r="D89" s="278"/>
      <c r="E89" s="279"/>
      <c r="F89" s="27"/>
      <c r="G89" s="27"/>
      <c r="H89" s="27"/>
      <c r="I89" s="8"/>
      <c r="J89" s="8"/>
      <c r="K89" s="27"/>
      <c r="L89" s="27"/>
      <c r="M89" s="199"/>
      <c r="N89" s="269"/>
    </row>
    <row r="90" spans="1:14" ht="14.25">
      <c r="A90" s="4"/>
      <c r="B90" s="5"/>
      <c r="C90" s="27"/>
      <c r="D90" s="27"/>
      <c r="E90" s="107"/>
      <c r="F90" s="27"/>
      <c r="G90" s="27"/>
      <c r="H90" s="27"/>
      <c r="I90" s="8"/>
      <c r="J90" s="8"/>
      <c r="K90" s="27"/>
      <c r="L90" s="27"/>
      <c r="M90" s="199"/>
      <c r="N90" s="269"/>
    </row>
    <row r="91" spans="1:14" ht="14.25">
      <c r="A91" s="4"/>
      <c r="B91" s="5"/>
      <c r="C91" s="27"/>
      <c r="D91" s="27"/>
      <c r="E91" s="107"/>
      <c r="F91" s="27"/>
      <c r="G91" s="27"/>
      <c r="H91" s="27"/>
      <c r="I91" s="8"/>
      <c r="J91" s="8"/>
      <c r="K91" s="27"/>
      <c r="L91" s="27"/>
      <c r="M91" s="199"/>
      <c r="N91" s="269"/>
    </row>
    <row r="92" spans="1:14" ht="15.75" customHeight="1">
      <c r="A92" s="199"/>
      <c r="B92" s="199"/>
      <c r="C92" s="199"/>
      <c r="D92" s="199"/>
      <c r="E92" s="199"/>
      <c r="F92" s="199"/>
      <c r="G92" s="199"/>
      <c r="H92" s="199"/>
      <c r="I92" s="199"/>
      <c r="J92" s="199"/>
      <c r="K92" s="199"/>
      <c r="L92" s="199"/>
      <c r="M92" s="199"/>
      <c r="N92" s="199"/>
    </row>
  </sheetData>
  <protectedRanges>
    <protectedRange sqref="A4:A57 A59:A75" name="Status"/>
    <protectedRange sqref="J59:N75" name="contato"/>
    <protectedRange sqref="A2" name="atualização"/>
  </protectedRanges>
  <autoFilter ref="A1:N1" xr:uid="{00000000-0001-0000-0000-000000000000}">
    <filterColumn colId="6">
      <filters>
        <filter val="santo"/>
      </filters>
    </filterColumn>
    <filterColumn colId="8" showButton="0"/>
  </autoFilter>
  <mergeCells count="3">
    <mergeCell ref="I1:J1"/>
    <mergeCell ref="I2:J2"/>
    <mergeCell ref="A58:N58"/>
  </mergeCells>
  <conditionalFormatting sqref="A4:A57 A59:A93">
    <cfRule type="containsText" dxfId="21" priority="4" operator="containsText" text="Aberta">
      <formula>NOT(ISERROR(SEARCH("Aberta",A4)))</formula>
    </cfRule>
  </conditionalFormatting>
  <conditionalFormatting sqref="A4:A57 A59:A93">
    <cfRule type="containsText" dxfId="20" priority="3" operator="containsText" text="Reforma">
      <formula>NOT(ISERROR(SEARCH("Reforma",A4)))</formula>
    </cfRule>
  </conditionalFormatting>
  <conditionalFormatting sqref="A4:A57 A59:A93">
    <cfRule type="containsText" dxfId="19" priority="2" operator="containsText" text="Fechada">
      <formula>NOT(ISERROR(SEARCH("Fechada",A4)))</formula>
    </cfRule>
  </conditionalFormatting>
  <conditionalFormatting sqref="D77:D88">
    <cfRule type="duplicateValues" dxfId="18" priority="1"/>
  </conditionalFormatting>
  <dataValidations count="1">
    <dataValidation type="list" allowBlank="1" showErrorMessage="1" sqref="A4:A57 A59:A111" xr:uid="{00000000-0002-0000-0000-000000000000}">
      <formula1>"Aberta,Fechada ,Reforma"</formula1>
    </dataValidation>
  </dataValidations>
  <hyperlinks>
    <hyperlink ref="E4" r:id="rId1" xr:uid="{00000000-0004-0000-0000-000001000000}"/>
    <hyperlink ref="M4" r:id="rId2" xr:uid="{00000000-0004-0000-0000-000002000000}"/>
    <hyperlink ref="E5" r:id="rId3" xr:uid="{00000000-0004-0000-0000-000004000000}"/>
    <hyperlink ref="M5" r:id="rId4" xr:uid="{00000000-0004-0000-0000-000005000000}"/>
    <hyperlink ref="E6" r:id="rId5" xr:uid="{00000000-0004-0000-0000-000007000000}"/>
    <hyperlink ref="M6" r:id="rId6" xr:uid="{00000000-0004-0000-0000-000008000000}"/>
    <hyperlink ref="E7" r:id="rId7" xr:uid="{00000000-0004-0000-0000-00000A000000}"/>
    <hyperlink ref="M7" r:id="rId8" xr:uid="{00000000-0004-0000-0000-00000B000000}"/>
    <hyperlink ref="E8" r:id="rId9" xr:uid="{00000000-0004-0000-0000-00000D000000}"/>
    <hyperlink ref="M8" r:id="rId10" xr:uid="{00000000-0004-0000-0000-00000E000000}"/>
    <hyperlink ref="E9" r:id="rId11" xr:uid="{00000000-0004-0000-0000-000010000000}"/>
    <hyperlink ref="M9" r:id="rId12" xr:uid="{00000000-0004-0000-0000-000011000000}"/>
    <hyperlink ref="E10" r:id="rId13" xr:uid="{00000000-0004-0000-0000-000013000000}"/>
    <hyperlink ref="M10" r:id="rId14" xr:uid="{00000000-0004-0000-0000-000014000000}"/>
    <hyperlink ref="E11" r:id="rId15" xr:uid="{00000000-0004-0000-0000-000016000000}"/>
    <hyperlink ref="M11" r:id="rId16" xr:uid="{00000000-0004-0000-0000-000017000000}"/>
    <hyperlink ref="E12" r:id="rId17" xr:uid="{00000000-0004-0000-0000-000019000000}"/>
    <hyperlink ref="M12" r:id="rId18" xr:uid="{00000000-0004-0000-0000-00001A000000}"/>
    <hyperlink ref="E13" r:id="rId19" xr:uid="{00000000-0004-0000-0000-00001C000000}"/>
    <hyperlink ref="M13" r:id="rId20" xr:uid="{00000000-0004-0000-0000-00001D000000}"/>
    <hyperlink ref="E14" r:id="rId21" xr:uid="{00000000-0004-0000-0000-00001F000000}"/>
    <hyperlink ref="M14" r:id="rId22" xr:uid="{00000000-0004-0000-0000-000020000000}"/>
    <hyperlink ref="E15" r:id="rId23" xr:uid="{00000000-0004-0000-0000-000022000000}"/>
    <hyperlink ref="M15" r:id="rId24" xr:uid="{00000000-0004-0000-0000-000023000000}"/>
    <hyperlink ref="E16" r:id="rId25" xr:uid="{00000000-0004-0000-0000-000025000000}"/>
    <hyperlink ref="M16" r:id="rId26" xr:uid="{00000000-0004-0000-0000-000026000000}"/>
    <hyperlink ref="E17" r:id="rId27" xr:uid="{00000000-0004-0000-0000-000028000000}"/>
    <hyperlink ref="M17" r:id="rId28" xr:uid="{00000000-0004-0000-0000-000029000000}"/>
    <hyperlink ref="E18" r:id="rId29" xr:uid="{00000000-0004-0000-0000-00002B000000}"/>
    <hyperlink ref="M18" r:id="rId30" xr:uid="{00000000-0004-0000-0000-00002C000000}"/>
    <hyperlink ref="E19" r:id="rId31" xr:uid="{00000000-0004-0000-0000-00002E000000}"/>
    <hyperlink ref="M19" r:id="rId32" xr:uid="{00000000-0004-0000-0000-00002F000000}"/>
    <hyperlink ref="E20" r:id="rId33" xr:uid="{00000000-0004-0000-0000-000031000000}"/>
    <hyperlink ref="M20" r:id="rId34" xr:uid="{00000000-0004-0000-0000-000032000000}"/>
    <hyperlink ref="E21" r:id="rId35" xr:uid="{00000000-0004-0000-0000-000034000000}"/>
    <hyperlink ref="M21" r:id="rId36" xr:uid="{00000000-0004-0000-0000-000035000000}"/>
    <hyperlink ref="E22" r:id="rId37" xr:uid="{00000000-0004-0000-0000-000037000000}"/>
    <hyperlink ref="M22" r:id="rId38" xr:uid="{00000000-0004-0000-0000-000038000000}"/>
    <hyperlink ref="E23" r:id="rId39" xr:uid="{00000000-0004-0000-0000-00003A000000}"/>
    <hyperlink ref="M23" r:id="rId40" xr:uid="{00000000-0004-0000-0000-00003B000000}"/>
    <hyperlink ref="E24" r:id="rId41" xr:uid="{00000000-0004-0000-0000-00003D000000}"/>
    <hyperlink ref="M24" r:id="rId42" xr:uid="{00000000-0004-0000-0000-00003E000000}"/>
    <hyperlink ref="E25" r:id="rId43" xr:uid="{00000000-0004-0000-0000-000040000000}"/>
    <hyperlink ref="M25" r:id="rId44" xr:uid="{00000000-0004-0000-0000-000041000000}"/>
    <hyperlink ref="E26" r:id="rId45" xr:uid="{00000000-0004-0000-0000-000043000000}"/>
    <hyperlink ref="M26" r:id="rId46" xr:uid="{00000000-0004-0000-0000-000044000000}"/>
    <hyperlink ref="E27" r:id="rId47" xr:uid="{00000000-0004-0000-0000-000046000000}"/>
    <hyperlink ref="M27" r:id="rId48" xr:uid="{00000000-0004-0000-0000-000047000000}"/>
    <hyperlink ref="E28" r:id="rId49" xr:uid="{00000000-0004-0000-0000-000049000000}"/>
    <hyperlink ref="M28" r:id="rId50" xr:uid="{00000000-0004-0000-0000-00004A000000}"/>
    <hyperlink ref="E29" r:id="rId51" xr:uid="{00000000-0004-0000-0000-00004C000000}"/>
    <hyperlink ref="M29" r:id="rId52" xr:uid="{00000000-0004-0000-0000-00004D000000}"/>
    <hyperlink ref="E30" r:id="rId53" xr:uid="{00000000-0004-0000-0000-00004F000000}"/>
    <hyperlink ref="M30" r:id="rId54" xr:uid="{00000000-0004-0000-0000-000050000000}"/>
    <hyperlink ref="E31" r:id="rId55" xr:uid="{00000000-0004-0000-0000-000052000000}"/>
    <hyperlink ref="M31" r:id="rId56" xr:uid="{00000000-0004-0000-0000-000053000000}"/>
    <hyperlink ref="E32" r:id="rId57" xr:uid="{00000000-0004-0000-0000-000055000000}"/>
    <hyperlink ref="M32" r:id="rId58" xr:uid="{00000000-0004-0000-0000-000056000000}"/>
    <hyperlink ref="E33" r:id="rId59" xr:uid="{00000000-0004-0000-0000-000058000000}"/>
    <hyperlink ref="M33" r:id="rId60" xr:uid="{00000000-0004-0000-0000-000059000000}"/>
    <hyperlink ref="E34" r:id="rId61" xr:uid="{00000000-0004-0000-0000-00005B000000}"/>
    <hyperlink ref="M34" r:id="rId62" xr:uid="{00000000-0004-0000-0000-00005C000000}"/>
    <hyperlink ref="E35" r:id="rId63" xr:uid="{00000000-0004-0000-0000-00005E000000}"/>
    <hyperlink ref="M35" r:id="rId64" xr:uid="{00000000-0004-0000-0000-00005F000000}"/>
    <hyperlink ref="E36" r:id="rId65" xr:uid="{00000000-0004-0000-0000-000061000000}"/>
    <hyperlink ref="M36" r:id="rId66" xr:uid="{00000000-0004-0000-0000-000062000000}"/>
    <hyperlink ref="E37" r:id="rId67" xr:uid="{00000000-0004-0000-0000-000064000000}"/>
    <hyperlink ref="M37" r:id="rId68" xr:uid="{00000000-0004-0000-0000-000065000000}"/>
    <hyperlink ref="E38" r:id="rId69" xr:uid="{00000000-0004-0000-0000-000067000000}"/>
    <hyperlink ref="M38" r:id="rId70" xr:uid="{00000000-0004-0000-0000-000068000000}"/>
    <hyperlink ref="E39" r:id="rId71" xr:uid="{00000000-0004-0000-0000-00006A000000}"/>
    <hyperlink ref="M39" r:id="rId72" xr:uid="{00000000-0004-0000-0000-00006B000000}"/>
    <hyperlink ref="E40" r:id="rId73" xr:uid="{00000000-0004-0000-0000-00006D000000}"/>
    <hyperlink ref="M40" r:id="rId74" xr:uid="{00000000-0004-0000-0000-00006E000000}"/>
    <hyperlink ref="E41" r:id="rId75" xr:uid="{00000000-0004-0000-0000-000070000000}"/>
    <hyperlink ref="M41" r:id="rId76" xr:uid="{00000000-0004-0000-0000-000071000000}"/>
    <hyperlink ref="E42" r:id="rId77" xr:uid="{00000000-0004-0000-0000-000073000000}"/>
    <hyperlink ref="M42" r:id="rId78" xr:uid="{00000000-0004-0000-0000-000074000000}"/>
    <hyperlink ref="E43" r:id="rId79" xr:uid="{00000000-0004-0000-0000-000076000000}"/>
    <hyperlink ref="E44" r:id="rId80" xr:uid="{00000000-0004-0000-0000-000079000000}"/>
    <hyperlink ref="M44" r:id="rId81" xr:uid="{00000000-0004-0000-0000-00007A000000}"/>
    <hyperlink ref="E45" r:id="rId82" xr:uid="{00000000-0004-0000-0000-00007C000000}"/>
    <hyperlink ref="M45" r:id="rId83" xr:uid="{00000000-0004-0000-0000-00007D000000}"/>
    <hyperlink ref="E46" r:id="rId84" xr:uid="{00000000-0004-0000-0000-00007F000000}"/>
    <hyperlink ref="M46" r:id="rId85" xr:uid="{00000000-0004-0000-0000-000080000000}"/>
    <hyperlink ref="E47" r:id="rId86" xr:uid="{00000000-0004-0000-0000-000082000000}"/>
    <hyperlink ref="M47" r:id="rId87" xr:uid="{00000000-0004-0000-0000-000083000000}"/>
    <hyperlink ref="E48" r:id="rId88" xr:uid="{00000000-0004-0000-0000-000085000000}"/>
    <hyperlink ref="M48" r:id="rId89" xr:uid="{00000000-0004-0000-0000-000086000000}"/>
    <hyperlink ref="E49" r:id="rId90" xr:uid="{00000000-0004-0000-0000-000088000000}"/>
    <hyperlink ref="M49" r:id="rId91" xr:uid="{00000000-0004-0000-0000-000089000000}"/>
    <hyperlink ref="E50" r:id="rId92" xr:uid="{00000000-0004-0000-0000-00008B000000}"/>
    <hyperlink ref="M50" r:id="rId93" xr:uid="{00000000-0004-0000-0000-00008C000000}"/>
    <hyperlink ref="E51" r:id="rId94" xr:uid="{00000000-0004-0000-0000-00008E000000}"/>
    <hyperlink ref="M51" r:id="rId95" xr:uid="{00000000-0004-0000-0000-00008F000000}"/>
    <hyperlink ref="E52" r:id="rId96" xr:uid="{00000000-0004-0000-0000-000091000000}"/>
    <hyperlink ref="M52" r:id="rId97" xr:uid="{00000000-0004-0000-0000-000092000000}"/>
    <hyperlink ref="E53" r:id="rId98" xr:uid="{00000000-0004-0000-0000-000094000000}"/>
    <hyperlink ref="M53" r:id="rId99" xr:uid="{00000000-0004-0000-0000-000095000000}"/>
    <hyperlink ref="E54" r:id="rId100" xr:uid="{00000000-0004-0000-0000-000097000000}"/>
    <hyperlink ref="M54" r:id="rId101" xr:uid="{00000000-0004-0000-0000-000098000000}"/>
    <hyperlink ref="E55" r:id="rId102" xr:uid="{00000000-0004-0000-0000-00009A000000}"/>
    <hyperlink ref="M55" r:id="rId103" xr:uid="{00000000-0004-0000-0000-00009B000000}"/>
    <hyperlink ref="E56" r:id="rId104" xr:uid="{00000000-0004-0000-0000-00009D000000}"/>
    <hyperlink ref="M56" r:id="rId105" xr:uid="{00000000-0004-0000-0000-00009E000000}"/>
    <hyperlink ref="E57" r:id="rId106" xr:uid="{00000000-0004-0000-0000-0000A0000000}"/>
    <hyperlink ref="M57" r:id="rId107" xr:uid="{00000000-0004-0000-0000-0000A1000000}"/>
    <hyperlink ref="D59" r:id="rId108" xr:uid="{00000000-0004-0000-0000-0000A2000000}"/>
    <hyperlink ref="E59" r:id="rId109" xr:uid="{00000000-0004-0000-0000-0000A3000000}"/>
    <hyperlink ref="D60" r:id="rId110" xr:uid="{00000000-0004-0000-0000-0000A4000000}"/>
    <hyperlink ref="E60" r:id="rId111" xr:uid="{00000000-0004-0000-0000-0000A5000000}"/>
    <hyperlink ref="D61" r:id="rId112" xr:uid="{00000000-0004-0000-0000-0000A6000000}"/>
    <hyperlink ref="E61" r:id="rId113" xr:uid="{00000000-0004-0000-0000-0000A7000000}"/>
    <hyperlink ref="D62" r:id="rId114" xr:uid="{00000000-0004-0000-0000-0000A8000000}"/>
    <hyperlink ref="E62" r:id="rId115" xr:uid="{00000000-0004-0000-0000-0000A9000000}"/>
    <hyperlink ref="D63" r:id="rId116" xr:uid="{00000000-0004-0000-0000-0000AA000000}"/>
    <hyperlink ref="E63" r:id="rId117" xr:uid="{00000000-0004-0000-0000-0000AB000000}"/>
    <hyperlink ref="D64" r:id="rId118" xr:uid="{00000000-0004-0000-0000-0000AC000000}"/>
    <hyperlink ref="E64" r:id="rId119" xr:uid="{00000000-0004-0000-0000-0000AD000000}"/>
    <hyperlink ref="D65" r:id="rId120" xr:uid="{00000000-0004-0000-0000-0000AE000000}"/>
    <hyperlink ref="E65" r:id="rId121" xr:uid="{00000000-0004-0000-0000-0000AF000000}"/>
    <hyperlink ref="D66" r:id="rId122" xr:uid="{00000000-0004-0000-0000-0000B0000000}"/>
    <hyperlink ref="E66" r:id="rId123" xr:uid="{00000000-0004-0000-0000-0000B1000000}"/>
    <hyperlink ref="D67" r:id="rId124" xr:uid="{00000000-0004-0000-0000-0000B2000000}"/>
    <hyperlink ref="E67" r:id="rId125" xr:uid="{00000000-0004-0000-0000-0000B3000000}"/>
    <hyperlink ref="D68" r:id="rId126" xr:uid="{00000000-0004-0000-0000-0000B4000000}"/>
    <hyperlink ref="E68" r:id="rId127" xr:uid="{00000000-0004-0000-0000-0000B5000000}"/>
    <hyperlink ref="D69" r:id="rId128" xr:uid="{00000000-0004-0000-0000-0000B6000000}"/>
    <hyperlink ref="E69" r:id="rId129" xr:uid="{00000000-0004-0000-0000-0000B7000000}"/>
    <hyperlink ref="D70" r:id="rId130" xr:uid="{00000000-0004-0000-0000-0000B8000000}"/>
    <hyperlink ref="E70" r:id="rId131" xr:uid="{00000000-0004-0000-0000-0000B9000000}"/>
    <hyperlink ref="D71" r:id="rId132" xr:uid="{00000000-0004-0000-0000-0000BA000000}"/>
    <hyperlink ref="E71" r:id="rId133" xr:uid="{00000000-0004-0000-0000-0000BB000000}"/>
    <hyperlink ref="D72" r:id="rId134" xr:uid="{00000000-0004-0000-0000-0000BC000000}"/>
    <hyperlink ref="E72" r:id="rId135" xr:uid="{00000000-0004-0000-0000-0000BD000000}"/>
    <hyperlink ref="D73" r:id="rId136" xr:uid="{00000000-0004-0000-0000-0000BE000000}"/>
    <hyperlink ref="E73" r:id="rId137" xr:uid="{00000000-0004-0000-0000-0000BF000000}"/>
    <hyperlink ref="D74" r:id="rId138" xr:uid="{00000000-0004-0000-0000-0000C0000000}"/>
    <hyperlink ref="E75" r:id="rId139" xr:uid="{00000000-0004-0000-0000-0000C2000000}"/>
    <hyperlink ref="D5" r:id="rId140" xr:uid="{7BDF5028-8447-4736-AB42-17D9ADD9E242}"/>
    <hyperlink ref="D6" r:id="rId141" xr:uid="{FECF7209-A8BA-40E6-98E2-52788A23A2F7}"/>
    <hyperlink ref="D7" r:id="rId142" xr:uid="{26560DA6-9918-46DD-85A4-64246BB931DB}"/>
    <hyperlink ref="D8" r:id="rId143" xr:uid="{6177C1CF-5629-453C-895F-2A86F3118B64}"/>
    <hyperlink ref="D9" r:id="rId144" xr:uid="{DBE75A41-B59D-49D6-BB59-28324F33C703}"/>
    <hyperlink ref="D10" r:id="rId145" xr:uid="{428427EA-9859-4C2C-B9AA-B5890E3AEA96}"/>
    <hyperlink ref="D11" r:id="rId146" xr:uid="{EA9CED4E-B0B7-4C15-B7A6-01D314A5345C}"/>
    <hyperlink ref="D12" r:id="rId147" xr:uid="{AB58C898-C7DF-498D-9DB2-E659DB0E1787}"/>
    <hyperlink ref="D13" r:id="rId148" xr:uid="{A621467E-7A0E-49DA-AE93-7D6EFE46373B}"/>
    <hyperlink ref="D14" r:id="rId149" xr:uid="{D0C63109-CAB4-4F96-8AF0-5D894CDE3F2B}"/>
    <hyperlink ref="D15" r:id="rId150" xr:uid="{F23FEE24-FB37-4EBC-BA6D-0DECED053E4C}"/>
    <hyperlink ref="D16" r:id="rId151" xr:uid="{CA5F3C8A-EB37-4549-B187-DCDCC4DA483B}"/>
    <hyperlink ref="D17" r:id="rId152" xr:uid="{1DFB8AF3-77DE-466C-84D7-8EB4870B3712}"/>
    <hyperlink ref="D18" r:id="rId153" xr:uid="{6A23F849-26CB-47A7-876D-895444D63CEA}"/>
    <hyperlink ref="D19" r:id="rId154" xr:uid="{224A8086-DD7B-4362-A52F-741221CF15DD}"/>
    <hyperlink ref="D20" r:id="rId155" xr:uid="{629FA68D-C65F-4EDB-A8EF-2FABCAB1B57B}"/>
    <hyperlink ref="D21" r:id="rId156" xr:uid="{F359A398-FC30-4495-9029-41D8E3E5B95E}"/>
    <hyperlink ref="D22" r:id="rId157" xr:uid="{9F713BA1-1F68-4965-ACBC-59322376D0BC}"/>
    <hyperlink ref="D23" r:id="rId158" xr:uid="{4DDF5AE7-2EDD-49CD-80D6-F5BDC2D39CD1}"/>
    <hyperlink ref="D24" r:id="rId159" xr:uid="{9D110B86-AEDA-4DB7-A432-627D33AC8072}"/>
    <hyperlink ref="D25" r:id="rId160" xr:uid="{D3DB6C72-D14F-4CF0-BA79-029C8DB95655}"/>
    <hyperlink ref="D26" r:id="rId161" xr:uid="{CE92CB52-534D-4334-8740-E45F94464131}"/>
    <hyperlink ref="D27" r:id="rId162" xr:uid="{87F035E0-E723-4CCD-BA85-A4EC01C0DDBC}"/>
    <hyperlink ref="D28" r:id="rId163" xr:uid="{E3539082-F691-400F-A659-4EAEED6942B3}"/>
    <hyperlink ref="D29" r:id="rId164" xr:uid="{67ACE88E-3498-4E29-B71B-18EC030F16B2}"/>
    <hyperlink ref="D30" r:id="rId165" xr:uid="{50EB1E0F-4196-4016-9FDC-5AFAF3970A32}"/>
    <hyperlink ref="D31" r:id="rId166" xr:uid="{EFA8D6E4-07A9-4475-95CA-3E6BAA714B1F}"/>
    <hyperlink ref="D32" r:id="rId167" xr:uid="{8FB233F6-2F65-44DC-BF09-0C2239C37530}"/>
    <hyperlink ref="D33" r:id="rId168" xr:uid="{B8AE0954-F821-4165-97BE-5BFB226658D2}"/>
    <hyperlink ref="D34" r:id="rId169" xr:uid="{B7AAE4A0-399B-4829-8FF6-58696D9FFCA1}"/>
    <hyperlink ref="D35" r:id="rId170" xr:uid="{F97E4DF3-4962-442B-9367-B4011BC64A5E}"/>
    <hyperlink ref="D36" r:id="rId171" display="Bibilioteca Milton Santos" xr:uid="{9DEE4D7D-81D1-425D-A311-ABAEBC0DC23D}"/>
    <hyperlink ref="D37" r:id="rId172" xr:uid="{18EA5B57-0AB1-4CA6-BCE6-807D6D713840}"/>
    <hyperlink ref="D38" r:id="rId173" xr:uid="{C83F5CEC-0C79-4AB6-9D6F-2D89B6A6C08A}"/>
    <hyperlink ref="D39" r:id="rId174" xr:uid="{5DD2CCDD-4B05-471A-B02B-8E54B845AFCB}"/>
    <hyperlink ref="D40" r:id="rId175" xr:uid="{3AD189D2-20EB-4E6D-B900-372A848F047B}"/>
    <hyperlink ref="D41" r:id="rId176" xr:uid="{915EF530-1E2D-41EA-BCEB-6E64D4CA6618}"/>
    <hyperlink ref="D42" r:id="rId177" xr:uid="{98A80FE5-3060-44C2-89DF-33E17D8BACEA}"/>
    <hyperlink ref="D43" r:id="rId178" xr:uid="{EADD373B-AA18-496D-A584-2A62F2AC3C89}"/>
    <hyperlink ref="D44" r:id="rId179" xr:uid="{3667469B-40D4-4263-BA69-ADDFB4D199D9}"/>
    <hyperlink ref="D45" r:id="rId180" xr:uid="{D62319D2-789B-43FA-95ED-65793C5A1DB6}"/>
    <hyperlink ref="D46" r:id="rId181" xr:uid="{ED107782-C9B9-4F2C-86C0-7FC68325E317}"/>
    <hyperlink ref="D47" r:id="rId182" xr:uid="{2200C0B3-E1E6-4AFE-9328-5CE297401146}"/>
    <hyperlink ref="D48" r:id="rId183" xr:uid="{5E715A34-97DA-47CF-92DF-44FBAE964D46}"/>
    <hyperlink ref="D49" r:id="rId184" xr:uid="{D9EB7A9B-C8B7-41EC-AC46-6328AE680555}"/>
    <hyperlink ref="D50" r:id="rId185" xr:uid="{6CD8E1A9-2347-4A2B-AF78-72D489E9BBA2}"/>
    <hyperlink ref="D51" r:id="rId186" xr:uid="{D31110A6-02FE-4D1D-82F3-062B78AAA058}"/>
    <hyperlink ref="D52" r:id="rId187" xr:uid="{A6DCAB97-8EAF-45D2-9301-102FB14BBCF3}"/>
    <hyperlink ref="D53" r:id="rId188" xr:uid="{27827269-A739-4D0C-9669-E2765B0D7D54}"/>
    <hyperlink ref="D54" r:id="rId189" xr:uid="{71E750C0-7FC3-40FE-A49D-1F9D40D32D1E}"/>
    <hyperlink ref="D55" r:id="rId190" xr:uid="{6511B8B2-D999-427D-B55C-3A11D6C9A111}"/>
    <hyperlink ref="D56" r:id="rId191" xr:uid="{4380E230-7032-4335-B758-49EDBF175446}"/>
    <hyperlink ref="D57" r:id="rId192" xr:uid="{D934EC8E-D3ED-42E1-ADF6-B575188AEA0F}"/>
    <hyperlink ref="M43" r:id="rId193" xr:uid="{00000000-0004-0000-0000-000077000000}"/>
    <hyperlink ref="E76" r:id="rId194" xr:uid="{D7311889-7376-4CC7-B990-9EE073B0F729}"/>
    <hyperlink ref="E77" r:id="rId195" xr:uid="{51DF1301-8C19-4913-8DF3-7CA936F8F024}"/>
    <hyperlink ref="E78" r:id="rId196" xr:uid="{C69E1D00-C5E3-437B-BC9A-76EE1D8C0BAD}"/>
    <hyperlink ref="E79" r:id="rId197" xr:uid="{24662067-251B-47CB-83E4-9DA1A722B45B}"/>
    <hyperlink ref="E80" r:id="rId198" xr:uid="{7E420DAB-0D6B-44DE-BB97-A6F937129AEF}"/>
    <hyperlink ref="E81" r:id="rId199" xr:uid="{F0824214-BE98-4BE9-87F5-67149533E379}"/>
    <hyperlink ref="E82" r:id="rId200" xr:uid="{584DAC63-C8E8-4651-AC58-CAE4D13A5151}"/>
    <hyperlink ref="E83" r:id="rId201" xr:uid="{4F267C19-2499-4195-97DE-6888E570FE00}"/>
    <hyperlink ref="E84" r:id="rId202" xr:uid="{BBCB7D01-2E97-4828-ABD1-9C19B65D7346}"/>
    <hyperlink ref="E85" r:id="rId203" xr:uid="{C9A5DAE4-141F-43CC-B792-D1EB9000361C}"/>
    <hyperlink ref="E86" r:id="rId204" xr:uid="{984B6C2C-FEC8-4EDA-B3DA-AF5BE64A17C2}"/>
    <hyperlink ref="E87" r:id="rId205" xr:uid="{D39CF440-FA2D-43FB-8233-CDCD7D7D7305}"/>
    <hyperlink ref="E88" r:id="rId206" xr:uid="{2FE1E734-3234-4247-BA78-209DCD6E72E9}"/>
  </hyperlinks>
  <pageMargins left="0" right="0" top="0" bottom="0" header="0" footer="0"/>
  <pageSetup paperSize="9" orientation="portrait" r:id="rId207"/>
  <drawing r:id="rId208"/>
  <legacyDrawing r:id="rId20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210" name="Button 3">
              <controlPr defaultSize="0" print="0" autoFill="0" autoPict="0" macro="[0]!CoodenadoresTotalFun">
                <anchor moveWithCells="1" sizeWithCells="1">
                  <from>
                    <xdr:col>0</xdr:col>
                    <xdr:colOff>171450</xdr:colOff>
                    <xdr:row>1</xdr:row>
                    <xdr:rowOff>123825</xdr:rowOff>
                  </from>
                  <to>
                    <xdr:col>0</xdr:col>
                    <xdr:colOff>1419225</xdr:colOff>
                    <xdr:row>1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E6AB4-6588-4550-AA58-31A099022E86}">
  <dimension ref="B1:G13"/>
  <sheetViews>
    <sheetView workbookViewId="0">
      <selection activeCell="B2" sqref="B2:G13"/>
    </sheetView>
  </sheetViews>
  <sheetFormatPr defaultRowHeight="12.75"/>
  <cols>
    <col min="2" max="2" width="38.5703125" customWidth="1"/>
    <col min="3" max="3" width="34.42578125" customWidth="1"/>
    <col min="4" max="4" width="23.85546875" customWidth="1"/>
    <col min="5" max="5" width="14.85546875" customWidth="1"/>
    <col min="6" max="6" width="73.85546875" customWidth="1"/>
    <col min="7" max="8" width="23.85546875" customWidth="1"/>
  </cols>
  <sheetData>
    <row r="1" spans="2:7" ht="13.5" thickBot="1"/>
    <row r="2" spans="2:7">
      <c r="B2" s="371" t="s">
        <v>800</v>
      </c>
      <c r="C2" s="371" t="s">
        <v>142</v>
      </c>
      <c r="D2" s="371" t="s">
        <v>144</v>
      </c>
      <c r="E2" s="371" t="s">
        <v>143</v>
      </c>
      <c r="F2" s="371" t="s">
        <v>801</v>
      </c>
      <c r="G2" s="371" t="s">
        <v>802</v>
      </c>
    </row>
    <row r="3" spans="2:7" ht="13.5" thickBot="1">
      <c r="B3" s="372"/>
      <c r="C3" s="372"/>
      <c r="D3" s="372"/>
      <c r="E3" s="372"/>
      <c r="F3" s="372"/>
      <c r="G3" s="372"/>
    </row>
    <row r="4" spans="2:7" ht="33" customHeight="1" thickBot="1">
      <c r="B4" s="360" t="s">
        <v>803</v>
      </c>
      <c r="C4" s="361" t="s">
        <v>804</v>
      </c>
      <c r="D4" s="361" t="s">
        <v>600</v>
      </c>
      <c r="E4" s="361" t="s">
        <v>805</v>
      </c>
      <c r="F4" s="362" t="s">
        <v>806</v>
      </c>
      <c r="G4" s="361" t="s">
        <v>807</v>
      </c>
    </row>
    <row r="5" spans="2:7" ht="33" customHeight="1" thickBot="1">
      <c r="B5" s="360" t="s">
        <v>808</v>
      </c>
      <c r="C5" s="361" t="s">
        <v>745</v>
      </c>
      <c r="D5" s="361" t="s">
        <v>747</v>
      </c>
      <c r="E5" s="361" t="s">
        <v>746</v>
      </c>
      <c r="F5" s="362" t="s">
        <v>809</v>
      </c>
      <c r="G5" s="361" t="s">
        <v>807</v>
      </c>
    </row>
    <row r="6" spans="2:7" ht="33" customHeight="1" thickBot="1">
      <c r="B6" s="360" t="s">
        <v>810</v>
      </c>
      <c r="C6" s="361" t="s">
        <v>750</v>
      </c>
      <c r="D6" s="361" t="s">
        <v>752</v>
      </c>
      <c r="E6" s="361" t="s">
        <v>751</v>
      </c>
      <c r="F6" s="362" t="s">
        <v>809</v>
      </c>
      <c r="G6" s="361" t="s">
        <v>807</v>
      </c>
    </row>
    <row r="7" spans="2:7" ht="33" customHeight="1" thickBot="1">
      <c r="B7" s="357" t="s">
        <v>811</v>
      </c>
      <c r="C7" s="358" t="s">
        <v>673</v>
      </c>
      <c r="D7" s="358" t="s">
        <v>812</v>
      </c>
      <c r="E7" s="358" t="s">
        <v>674</v>
      </c>
      <c r="F7" s="359" t="s">
        <v>809</v>
      </c>
      <c r="G7" s="358" t="s">
        <v>813</v>
      </c>
    </row>
    <row r="8" spans="2:7" ht="33" customHeight="1" thickBot="1">
      <c r="B8" s="353" t="s">
        <v>814</v>
      </c>
      <c r="C8" s="352" t="s">
        <v>815</v>
      </c>
      <c r="D8" s="352" t="s">
        <v>816</v>
      </c>
      <c r="E8" s="352" t="s">
        <v>817</v>
      </c>
      <c r="F8" s="354" t="s">
        <v>818</v>
      </c>
      <c r="G8" s="352" t="s">
        <v>807</v>
      </c>
    </row>
    <row r="9" spans="2:7" ht="33" customHeight="1" thickBot="1">
      <c r="B9" s="353" t="s">
        <v>819</v>
      </c>
      <c r="C9" s="352" t="s">
        <v>820</v>
      </c>
      <c r="D9" s="352" t="s">
        <v>610</v>
      </c>
      <c r="E9" s="352" t="s">
        <v>821</v>
      </c>
      <c r="F9" s="354" t="s">
        <v>822</v>
      </c>
      <c r="G9" s="352" t="s">
        <v>164</v>
      </c>
    </row>
    <row r="10" spans="2:7" ht="33" customHeight="1" thickBot="1">
      <c r="B10" s="355" t="s">
        <v>823</v>
      </c>
      <c r="C10" s="351" t="s">
        <v>716</v>
      </c>
      <c r="D10" s="351" t="s">
        <v>715</v>
      </c>
      <c r="E10" s="351" t="s">
        <v>717</v>
      </c>
      <c r="F10" s="356" t="s">
        <v>809</v>
      </c>
      <c r="G10" s="351" t="s">
        <v>807</v>
      </c>
    </row>
    <row r="11" spans="2:7" ht="33" customHeight="1" thickBot="1">
      <c r="B11" s="355" t="s">
        <v>824</v>
      </c>
      <c r="C11" s="351" t="s">
        <v>667</v>
      </c>
      <c r="D11" s="351" t="s">
        <v>664</v>
      </c>
      <c r="E11" s="351" t="s">
        <v>668</v>
      </c>
      <c r="F11" s="356" t="s">
        <v>809</v>
      </c>
      <c r="G11" s="351" t="s">
        <v>807</v>
      </c>
    </row>
    <row r="12" spans="2:7" ht="33" customHeight="1" thickBot="1">
      <c r="B12" s="355" t="s">
        <v>825</v>
      </c>
      <c r="C12" s="351" t="s">
        <v>688</v>
      </c>
      <c r="D12" s="351" t="s">
        <v>826</v>
      </c>
      <c r="E12" s="351" t="s">
        <v>689</v>
      </c>
      <c r="F12" s="356" t="s">
        <v>809</v>
      </c>
      <c r="G12" s="351" t="s">
        <v>807</v>
      </c>
    </row>
    <row r="13" spans="2:7" ht="33" customHeight="1" thickBot="1">
      <c r="B13" s="355" t="s">
        <v>827</v>
      </c>
      <c r="C13" s="351" t="s">
        <v>728</v>
      </c>
      <c r="D13" s="351" t="s">
        <v>239</v>
      </c>
      <c r="E13" s="351" t="s">
        <v>729</v>
      </c>
      <c r="F13" s="356" t="s">
        <v>809</v>
      </c>
      <c r="G13" s="351" t="s">
        <v>807</v>
      </c>
    </row>
  </sheetData>
  <mergeCells count="6">
    <mergeCell ref="G2:G3"/>
    <mergeCell ref="B2:B3"/>
    <mergeCell ref="C2:C3"/>
    <mergeCell ref="D2:D3"/>
    <mergeCell ref="E2:E3"/>
    <mergeCell ref="F2:F3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1ED3-0BD1-4066-AF26-686AC7191970}">
  <sheetPr codeName="Planilha2"/>
  <dimension ref="A1:X321"/>
  <sheetViews>
    <sheetView workbookViewId="0">
      <selection activeCell="A5" sqref="A5"/>
    </sheetView>
  </sheetViews>
  <sheetFormatPr defaultRowHeight="12.75"/>
  <cols>
    <col min="1" max="1" width="34.140625" bestFit="1" customWidth="1"/>
    <col min="2" max="2" width="31" bestFit="1" customWidth="1"/>
    <col min="3" max="4" width="22.7109375" bestFit="1" customWidth="1"/>
    <col min="5" max="5" width="11.28515625" bestFit="1" customWidth="1"/>
    <col min="6" max="6" width="21.85546875" bestFit="1" customWidth="1"/>
    <col min="7" max="7" width="39.7109375" bestFit="1" customWidth="1"/>
    <col min="8" max="8" width="28.5703125" bestFit="1" customWidth="1"/>
    <col min="9" max="9" width="81.140625" bestFit="1" customWidth="1"/>
    <col min="10" max="10" width="15" bestFit="1" customWidth="1"/>
    <col min="11" max="11" width="40" bestFit="1" customWidth="1"/>
    <col min="12" max="12" width="29.28515625" bestFit="1" customWidth="1"/>
    <col min="13" max="13" width="29.140625" bestFit="1" customWidth="1"/>
    <col min="14" max="14" width="36" bestFit="1" customWidth="1"/>
    <col min="15" max="15" width="22.140625" bestFit="1" customWidth="1"/>
    <col min="16" max="16" width="45.7109375" bestFit="1" customWidth="1"/>
    <col min="17" max="17" width="32.5703125" bestFit="1" customWidth="1"/>
    <col min="18" max="18" width="35.140625" bestFit="1" customWidth="1"/>
    <col min="19" max="19" width="21.140625" bestFit="1" customWidth="1"/>
    <col min="20" max="20" width="49.42578125" bestFit="1" customWidth="1"/>
    <col min="21" max="21" width="23" bestFit="1" customWidth="1"/>
    <col min="22" max="22" width="14.7109375" bestFit="1" customWidth="1"/>
    <col min="23" max="23" width="23.5703125" customWidth="1"/>
    <col min="24" max="24" width="35.140625" bestFit="1" customWidth="1"/>
  </cols>
  <sheetData>
    <row r="1" spans="1:2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828</v>
      </c>
      <c r="T1" t="s">
        <v>829</v>
      </c>
      <c r="U1" t="s">
        <v>830</v>
      </c>
      <c r="V1" t="s">
        <v>831</v>
      </c>
      <c r="W1" t="s">
        <v>832</v>
      </c>
      <c r="X1" s="164" t="s">
        <v>833</v>
      </c>
    </row>
    <row r="2" spans="1:24">
      <c r="A2" t="s">
        <v>834</v>
      </c>
      <c r="W2" s="164" t="s">
        <v>835</v>
      </c>
      <c r="X2" t="s">
        <v>161</v>
      </c>
    </row>
    <row r="3" spans="1:24">
      <c r="A3" t="s">
        <v>836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837</v>
      </c>
      <c r="Q3" t="s">
        <v>838</v>
      </c>
      <c r="R3" t="s">
        <v>839</v>
      </c>
      <c r="S3" t="s">
        <v>840</v>
      </c>
      <c r="T3" t="s">
        <v>31</v>
      </c>
      <c r="U3" t="s">
        <v>841</v>
      </c>
      <c r="V3" t="s">
        <v>32</v>
      </c>
      <c r="W3" t="s">
        <v>842</v>
      </c>
      <c r="X3" t="s">
        <v>843</v>
      </c>
    </row>
    <row r="4" spans="1:24">
      <c r="A4" t="s">
        <v>835</v>
      </c>
      <c r="F4">
        <v>5905737</v>
      </c>
      <c r="G4" t="s">
        <v>844</v>
      </c>
      <c r="H4" t="s">
        <v>41</v>
      </c>
      <c r="I4">
        <v>0</v>
      </c>
      <c r="J4">
        <v>2</v>
      </c>
      <c r="K4">
        <v>0</v>
      </c>
      <c r="L4">
        <v>0</v>
      </c>
      <c r="M4">
        <v>2</v>
      </c>
      <c r="N4">
        <v>0</v>
      </c>
      <c r="O4">
        <v>4</v>
      </c>
      <c r="P4">
        <v>0</v>
      </c>
      <c r="Q4">
        <v>4</v>
      </c>
      <c r="R4">
        <v>1</v>
      </c>
      <c r="S4">
        <v>1</v>
      </c>
      <c r="T4">
        <v>3</v>
      </c>
      <c r="U4">
        <v>2</v>
      </c>
      <c r="W4" t="s">
        <v>845</v>
      </c>
      <c r="X4" t="s">
        <v>172</v>
      </c>
    </row>
    <row r="5" spans="1:24">
      <c r="A5" t="s">
        <v>835</v>
      </c>
      <c r="F5">
        <v>8504598</v>
      </c>
      <c r="G5" t="s">
        <v>161</v>
      </c>
      <c r="H5" t="s">
        <v>51</v>
      </c>
      <c r="I5">
        <v>1</v>
      </c>
      <c r="W5" t="s">
        <v>846</v>
      </c>
      <c r="X5" t="s">
        <v>193</v>
      </c>
    </row>
    <row r="6" spans="1:24">
      <c r="A6" t="s">
        <v>835</v>
      </c>
      <c r="F6" t="s">
        <v>847</v>
      </c>
      <c r="G6" t="s">
        <v>848</v>
      </c>
      <c r="H6" t="s">
        <v>51</v>
      </c>
      <c r="I6">
        <v>0</v>
      </c>
      <c r="W6" t="s">
        <v>849</v>
      </c>
      <c r="X6" t="s">
        <v>203</v>
      </c>
    </row>
    <row r="7" spans="1:24">
      <c r="A7" t="s">
        <v>835</v>
      </c>
      <c r="F7">
        <v>7507992</v>
      </c>
      <c r="G7" t="s">
        <v>850</v>
      </c>
      <c r="H7" t="s">
        <v>41</v>
      </c>
      <c r="I7">
        <v>0</v>
      </c>
      <c r="W7" t="s">
        <v>851</v>
      </c>
      <c r="X7" t="s">
        <v>210</v>
      </c>
    </row>
    <row r="8" spans="1:24">
      <c r="W8" t="s">
        <v>852</v>
      </c>
      <c r="X8" t="s">
        <v>221</v>
      </c>
    </row>
    <row r="9" spans="1:24">
      <c r="A9" s="164" t="s">
        <v>842</v>
      </c>
      <c r="B9" t="s">
        <v>159</v>
      </c>
      <c r="C9" t="s">
        <v>159</v>
      </c>
      <c r="D9" t="s">
        <v>159</v>
      </c>
      <c r="E9" t="s">
        <v>853</v>
      </c>
      <c r="F9">
        <v>3167623</v>
      </c>
      <c r="G9" t="s">
        <v>854</v>
      </c>
      <c r="H9" t="s">
        <v>37</v>
      </c>
      <c r="I9">
        <v>0</v>
      </c>
      <c r="J9">
        <v>2</v>
      </c>
      <c r="K9">
        <v>1</v>
      </c>
      <c r="L9">
        <v>1</v>
      </c>
      <c r="M9">
        <v>1</v>
      </c>
      <c r="N9">
        <v>0</v>
      </c>
      <c r="O9">
        <v>5</v>
      </c>
      <c r="P9">
        <v>0</v>
      </c>
      <c r="Q9">
        <v>5</v>
      </c>
      <c r="R9">
        <v>1</v>
      </c>
      <c r="S9">
        <v>1</v>
      </c>
      <c r="T9">
        <v>3</v>
      </c>
      <c r="U9">
        <v>3</v>
      </c>
      <c r="W9" t="s">
        <v>855</v>
      </c>
      <c r="X9" t="s">
        <v>231</v>
      </c>
    </row>
    <row r="10" spans="1:24">
      <c r="A10" s="164" t="s">
        <v>842</v>
      </c>
      <c r="F10">
        <v>7406274</v>
      </c>
      <c r="G10" t="s">
        <v>843</v>
      </c>
      <c r="H10" t="s">
        <v>51</v>
      </c>
      <c r="I10">
        <v>1</v>
      </c>
      <c r="W10" s="164" t="s">
        <v>856</v>
      </c>
      <c r="X10" t="s">
        <v>250</v>
      </c>
    </row>
    <row r="11" spans="1:24">
      <c r="A11" s="164" t="s">
        <v>842</v>
      </c>
      <c r="F11">
        <v>8434204</v>
      </c>
      <c r="G11" t="s">
        <v>857</v>
      </c>
      <c r="H11" t="s">
        <v>88</v>
      </c>
      <c r="I11">
        <v>0</v>
      </c>
      <c r="W11" t="s">
        <v>858</v>
      </c>
      <c r="X11" t="s">
        <v>260</v>
      </c>
    </row>
    <row r="12" spans="1:24">
      <c r="A12" s="164" t="s">
        <v>842</v>
      </c>
      <c r="F12">
        <v>6254896</v>
      </c>
      <c r="G12" t="s">
        <v>859</v>
      </c>
      <c r="H12" t="s">
        <v>41</v>
      </c>
      <c r="I12">
        <v>0</v>
      </c>
      <c r="W12" t="s">
        <v>860</v>
      </c>
      <c r="X12" t="s">
        <v>270</v>
      </c>
    </row>
    <row r="13" spans="1:24">
      <c r="A13" s="164" t="s">
        <v>842</v>
      </c>
      <c r="F13">
        <v>7786581</v>
      </c>
      <c r="G13" t="s">
        <v>861</v>
      </c>
      <c r="H13" t="s">
        <v>51</v>
      </c>
      <c r="I13">
        <v>0</v>
      </c>
      <c r="W13" t="s">
        <v>862</v>
      </c>
      <c r="X13" t="s">
        <v>280</v>
      </c>
    </row>
    <row r="14" spans="1:24">
      <c r="W14" t="s">
        <v>863</v>
      </c>
      <c r="X14" t="s">
        <v>288</v>
      </c>
    </row>
    <row r="15" spans="1:24">
      <c r="A15" t="s">
        <v>845</v>
      </c>
      <c r="B15" t="s">
        <v>864</v>
      </c>
      <c r="C15" t="s">
        <v>865</v>
      </c>
      <c r="D15" t="s">
        <v>866</v>
      </c>
      <c r="E15" t="s">
        <v>867</v>
      </c>
      <c r="F15">
        <v>5047030</v>
      </c>
      <c r="G15" t="s">
        <v>868</v>
      </c>
      <c r="H15" t="s">
        <v>869</v>
      </c>
      <c r="I15">
        <v>0</v>
      </c>
      <c r="J15">
        <v>2</v>
      </c>
      <c r="K15">
        <v>0</v>
      </c>
      <c r="L15">
        <v>0</v>
      </c>
      <c r="M15">
        <v>2</v>
      </c>
      <c r="N15">
        <v>5</v>
      </c>
      <c r="O15">
        <v>9</v>
      </c>
      <c r="P15">
        <v>5</v>
      </c>
      <c r="Q15">
        <v>4</v>
      </c>
      <c r="R15">
        <v>1</v>
      </c>
      <c r="S15">
        <v>1</v>
      </c>
      <c r="T15">
        <v>2</v>
      </c>
      <c r="U15">
        <v>2</v>
      </c>
      <c r="W15" t="s">
        <v>870</v>
      </c>
      <c r="X15" t="s">
        <v>297</v>
      </c>
    </row>
    <row r="16" spans="1:24">
      <c r="A16" t="s">
        <v>845</v>
      </c>
      <c r="F16">
        <v>5859760</v>
      </c>
      <c r="G16" t="s">
        <v>871</v>
      </c>
      <c r="H16" t="s">
        <v>869</v>
      </c>
      <c r="I16">
        <v>0</v>
      </c>
      <c r="W16" t="s">
        <v>872</v>
      </c>
      <c r="X16" t="s">
        <v>308</v>
      </c>
    </row>
    <row r="17" spans="1:24">
      <c r="A17" t="s">
        <v>845</v>
      </c>
      <c r="F17">
        <v>5839408</v>
      </c>
      <c r="G17" t="s">
        <v>873</v>
      </c>
      <c r="H17" t="s">
        <v>41</v>
      </c>
      <c r="I17">
        <v>0</v>
      </c>
      <c r="W17" t="s">
        <v>874</v>
      </c>
      <c r="X17" t="s">
        <v>318</v>
      </c>
    </row>
    <row r="18" spans="1:24">
      <c r="A18" t="s">
        <v>845</v>
      </c>
      <c r="F18">
        <v>5860628</v>
      </c>
      <c r="G18" t="s">
        <v>875</v>
      </c>
      <c r="H18" t="s">
        <v>869</v>
      </c>
      <c r="I18">
        <v>0</v>
      </c>
      <c r="W18" t="s">
        <v>876</v>
      </c>
      <c r="X18" t="s">
        <v>328</v>
      </c>
    </row>
    <row r="19" spans="1:24">
      <c r="A19" t="s">
        <v>845</v>
      </c>
      <c r="F19">
        <v>6145761</v>
      </c>
      <c r="G19" t="s">
        <v>877</v>
      </c>
      <c r="H19" t="s">
        <v>41</v>
      </c>
      <c r="I19">
        <v>0</v>
      </c>
      <c r="W19" t="s">
        <v>878</v>
      </c>
      <c r="X19" t="s">
        <v>337</v>
      </c>
    </row>
    <row r="20" spans="1:24">
      <c r="A20" t="s">
        <v>845</v>
      </c>
      <c r="F20">
        <v>7794665</v>
      </c>
      <c r="G20" t="s">
        <v>879</v>
      </c>
      <c r="H20" t="s">
        <v>51</v>
      </c>
      <c r="I20">
        <v>0</v>
      </c>
      <c r="W20" t="s">
        <v>880</v>
      </c>
      <c r="X20" t="s">
        <v>346</v>
      </c>
    </row>
    <row r="21" spans="1:24">
      <c r="A21" t="s">
        <v>845</v>
      </c>
      <c r="F21">
        <v>7786212</v>
      </c>
      <c r="G21" t="s">
        <v>172</v>
      </c>
      <c r="H21" t="s">
        <v>51</v>
      </c>
      <c r="I21">
        <v>1</v>
      </c>
      <c r="W21" t="s">
        <v>881</v>
      </c>
      <c r="X21" t="s">
        <v>353</v>
      </c>
    </row>
    <row r="22" spans="1:24">
      <c r="A22" t="s">
        <v>845</v>
      </c>
      <c r="F22">
        <v>6455531</v>
      </c>
      <c r="G22" t="s">
        <v>882</v>
      </c>
      <c r="H22" t="s">
        <v>869</v>
      </c>
      <c r="I22">
        <v>0</v>
      </c>
      <c r="W22" t="s">
        <v>883</v>
      </c>
      <c r="X22" t="s">
        <v>363</v>
      </c>
    </row>
    <row r="23" spans="1:24">
      <c r="A23" t="s">
        <v>845</v>
      </c>
      <c r="F23">
        <v>5941717</v>
      </c>
      <c r="G23" t="s">
        <v>884</v>
      </c>
      <c r="H23" t="s">
        <v>869</v>
      </c>
      <c r="I23">
        <v>0</v>
      </c>
      <c r="W23" t="s">
        <v>885</v>
      </c>
      <c r="X23" t="s">
        <v>371</v>
      </c>
    </row>
    <row r="24" spans="1:24">
      <c r="W24" t="s">
        <v>886</v>
      </c>
      <c r="X24" t="s">
        <v>380</v>
      </c>
    </row>
    <row r="25" spans="1:24">
      <c r="A25" t="s">
        <v>846</v>
      </c>
      <c r="F25">
        <v>7786654</v>
      </c>
      <c r="G25" t="s">
        <v>887</v>
      </c>
      <c r="H25" t="s">
        <v>51</v>
      </c>
      <c r="I25">
        <v>0</v>
      </c>
      <c r="J25">
        <v>3</v>
      </c>
      <c r="K25">
        <v>0</v>
      </c>
      <c r="L25">
        <v>2</v>
      </c>
      <c r="M25">
        <v>0</v>
      </c>
      <c r="N25">
        <v>0</v>
      </c>
      <c r="O25">
        <v>5</v>
      </c>
      <c r="P25">
        <v>0</v>
      </c>
      <c r="Q25">
        <v>5</v>
      </c>
      <c r="R25">
        <v>3</v>
      </c>
      <c r="S25">
        <v>1</v>
      </c>
      <c r="T25">
        <v>3</v>
      </c>
      <c r="U25">
        <v>3</v>
      </c>
      <c r="W25" t="s">
        <v>888</v>
      </c>
      <c r="X25" t="s">
        <v>390</v>
      </c>
    </row>
    <row r="26" spans="1:24">
      <c r="A26" t="s">
        <v>846</v>
      </c>
      <c r="F26">
        <v>6009735</v>
      </c>
      <c r="G26" t="s">
        <v>889</v>
      </c>
      <c r="H26" t="s">
        <v>37</v>
      </c>
      <c r="I26">
        <v>0</v>
      </c>
      <c r="W26" t="s">
        <v>890</v>
      </c>
      <c r="X26" t="s">
        <v>400</v>
      </c>
    </row>
    <row r="27" spans="1:24">
      <c r="A27" t="s">
        <v>846</v>
      </c>
      <c r="F27">
        <v>8504521</v>
      </c>
      <c r="G27" t="s">
        <v>193</v>
      </c>
      <c r="H27" t="s">
        <v>51</v>
      </c>
      <c r="I27">
        <v>1</v>
      </c>
      <c r="W27" t="s">
        <v>891</v>
      </c>
      <c r="X27" t="s">
        <v>409</v>
      </c>
    </row>
    <row r="28" spans="1:24">
      <c r="A28" t="s">
        <v>846</v>
      </c>
      <c r="F28" t="s">
        <v>892</v>
      </c>
      <c r="G28" t="s">
        <v>893</v>
      </c>
      <c r="H28" t="s">
        <v>51</v>
      </c>
      <c r="I28">
        <v>0</v>
      </c>
      <c r="W28" t="s">
        <v>894</v>
      </c>
      <c r="X28" t="s">
        <v>419</v>
      </c>
    </row>
    <row r="29" spans="1:24">
      <c r="A29" t="s">
        <v>846</v>
      </c>
      <c r="F29">
        <v>6034667</v>
      </c>
      <c r="G29" t="s">
        <v>895</v>
      </c>
      <c r="H29" t="s">
        <v>37</v>
      </c>
      <c r="I29">
        <v>0</v>
      </c>
      <c r="W29" t="s">
        <v>896</v>
      </c>
      <c r="X29" t="s">
        <v>429</v>
      </c>
    </row>
    <row r="30" spans="1:24">
      <c r="W30" t="s">
        <v>897</v>
      </c>
      <c r="X30" t="s">
        <v>438</v>
      </c>
    </row>
    <row r="31" spans="1:24">
      <c r="A31" t="s">
        <v>849</v>
      </c>
      <c r="B31" t="s">
        <v>898</v>
      </c>
      <c r="C31" t="s">
        <v>899</v>
      </c>
      <c r="D31" t="s">
        <v>899</v>
      </c>
      <c r="E31" t="s">
        <v>867</v>
      </c>
      <c r="F31">
        <v>5155550</v>
      </c>
      <c r="G31" t="s">
        <v>900</v>
      </c>
      <c r="H31" t="s">
        <v>37</v>
      </c>
      <c r="I31">
        <v>0</v>
      </c>
      <c r="J31">
        <v>1</v>
      </c>
      <c r="K31">
        <v>0</v>
      </c>
      <c r="L31">
        <v>2</v>
      </c>
      <c r="M31">
        <v>1</v>
      </c>
      <c r="N31">
        <v>0</v>
      </c>
      <c r="O31">
        <v>4</v>
      </c>
      <c r="P31">
        <v>0</v>
      </c>
      <c r="Q31">
        <v>4</v>
      </c>
      <c r="R31">
        <v>2</v>
      </c>
      <c r="S31">
        <v>1</v>
      </c>
      <c r="T31">
        <v>3</v>
      </c>
      <c r="U31">
        <v>1</v>
      </c>
      <c r="W31" t="s">
        <v>901</v>
      </c>
      <c r="X31" t="s">
        <v>447</v>
      </c>
    </row>
    <row r="32" spans="1:24">
      <c r="A32" t="s">
        <v>849</v>
      </c>
      <c r="F32">
        <v>5808341</v>
      </c>
      <c r="G32" t="s">
        <v>203</v>
      </c>
      <c r="H32" t="s">
        <v>51</v>
      </c>
      <c r="I32">
        <v>1</v>
      </c>
      <c r="W32" t="s">
        <v>902</v>
      </c>
      <c r="X32" t="s">
        <v>455</v>
      </c>
    </row>
    <row r="33" spans="1:24">
      <c r="A33" t="s">
        <v>849</v>
      </c>
      <c r="F33">
        <v>5886661</v>
      </c>
      <c r="G33" t="s">
        <v>903</v>
      </c>
      <c r="H33" t="s">
        <v>37</v>
      </c>
      <c r="W33" s="164" t="s">
        <v>904</v>
      </c>
      <c r="X33" t="s">
        <v>464</v>
      </c>
    </row>
    <row r="34" spans="1:24">
      <c r="A34" t="s">
        <v>849</v>
      </c>
      <c r="F34">
        <v>6524781</v>
      </c>
      <c r="G34" t="s">
        <v>905</v>
      </c>
      <c r="H34" t="s">
        <v>41</v>
      </c>
      <c r="I34">
        <v>0</v>
      </c>
      <c r="W34" t="s">
        <v>906</v>
      </c>
      <c r="X34" t="s">
        <v>475</v>
      </c>
    </row>
    <row r="35" spans="1:24">
      <c r="W35" t="s">
        <v>907</v>
      </c>
      <c r="X35" t="s">
        <v>485</v>
      </c>
    </row>
    <row r="36" spans="1:24">
      <c r="A36" t="s">
        <v>851</v>
      </c>
      <c r="F36">
        <v>7794002</v>
      </c>
      <c r="G36" t="s">
        <v>210</v>
      </c>
      <c r="H36" t="s">
        <v>51</v>
      </c>
      <c r="I36">
        <v>1</v>
      </c>
      <c r="J36">
        <v>2</v>
      </c>
      <c r="K36">
        <v>0</v>
      </c>
      <c r="L36">
        <v>1</v>
      </c>
      <c r="M36">
        <v>1</v>
      </c>
      <c r="N36">
        <v>0</v>
      </c>
      <c r="O36">
        <v>4</v>
      </c>
      <c r="P36">
        <v>0</v>
      </c>
      <c r="Q36">
        <v>4</v>
      </c>
      <c r="R36">
        <v>1</v>
      </c>
      <c r="S36">
        <v>1</v>
      </c>
      <c r="T36">
        <v>2</v>
      </c>
      <c r="U36">
        <v>1</v>
      </c>
      <c r="W36" t="s">
        <v>908</v>
      </c>
      <c r="X36" t="s">
        <v>493</v>
      </c>
    </row>
    <row r="37" spans="1:24">
      <c r="A37" t="s">
        <v>851</v>
      </c>
      <c r="F37">
        <v>7786310</v>
      </c>
      <c r="G37" t="s">
        <v>909</v>
      </c>
      <c r="H37" t="s">
        <v>51</v>
      </c>
      <c r="I37">
        <v>0</v>
      </c>
      <c r="W37" t="s">
        <v>910</v>
      </c>
      <c r="X37" t="s">
        <v>503</v>
      </c>
    </row>
    <row r="38" spans="1:24">
      <c r="A38" t="s">
        <v>851</v>
      </c>
      <c r="F38">
        <v>5921619</v>
      </c>
      <c r="G38" t="s">
        <v>911</v>
      </c>
      <c r="H38" t="s">
        <v>37</v>
      </c>
      <c r="I38">
        <v>0</v>
      </c>
      <c r="W38" t="s">
        <v>912</v>
      </c>
      <c r="X38" t="s">
        <v>520</v>
      </c>
    </row>
    <row r="39" spans="1:24">
      <c r="A39" t="s">
        <v>851</v>
      </c>
      <c r="F39">
        <v>5406218</v>
      </c>
      <c r="G39" t="s">
        <v>913</v>
      </c>
      <c r="H39" t="s">
        <v>41</v>
      </c>
      <c r="I39">
        <v>0</v>
      </c>
      <c r="W39" t="s">
        <v>914</v>
      </c>
      <c r="X39" t="s">
        <v>536</v>
      </c>
    </row>
    <row r="40" spans="1:24">
      <c r="W40" t="s">
        <v>915</v>
      </c>
      <c r="X40" t="s">
        <v>544</v>
      </c>
    </row>
    <row r="41" spans="1:24">
      <c r="A41" t="s">
        <v>852</v>
      </c>
      <c r="F41">
        <v>5881307</v>
      </c>
      <c r="G41" t="s">
        <v>916</v>
      </c>
      <c r="H41" t="s">
        <v>37</v>
      </c>
      <c r="I41">
        <v>0</v>
      </c>
      <c r="J41">
        <v>1</v>
      </c>
      <c r="K41">
        <v>0</v>
      </c>
      <c r="L41">
        <v>1</v>
      </c>
      <c r="M41">
        <v>1</v>
      </c>
      <c r="N41">
        <v>0</v>
      </c>
      <c r="O41">
        <v>3</v>
      </c>
      <c r="P41">
        <v>0</v>
      </c>
      <c r="Q41">
        <v>3</v>
      </c>
      <c r="R41">
        <v>1</v>
      </c>
      <c r="S41">
        <v>1</v>
      </c>
      <c r="T41">
        <v>2</v>
      </c>
      <c r="U41">
        <v>1</v>
      </c>
      <c r="W41" t="s">
        <v>917</v>
      </c>
      <c r="X41" t="s">
        <v>240</v>
      </c>
    </row>
    <row r="42" spans="1:24">
      <c r="A42" t="s">
        <v>852</v>
      </c>
      <c r="F42">
        <v>8504440</v>
      </c>
      <c r="G42" t="s">
        <v>221</v>
      </c>
      <c r="H42" t="s">
        <v>51</v>
      </c>
      <c r="I42">
        <v>1</v>
      </c>
      <c r="W42" t="s">
        <v>918</v>
      </c>
      <c r="X42" t="s">
        <v>554</v>
      </c>
    </row>
    <row r="43" spans="1:24">
      <c r="A43" t="s">
        <v>852</v>
      </c>
      <c r="F43">
        <v>6526772</v>
      </c>
      <c r="G43" t="s">
        <v>919</v>
      </c>
      <c r="H43" t="s">
        <v>41</v>
      </c>
      <c r="I43">
        <v>0</v>
      </c>
      <c r="W43" t="s">
        <v>920</v>
      </c>
      <c r="X43" t="s">
        <v>564</v>
      </c>
    </row>
    <row r="44" spans="1:24">
      <c r="W44" t="s">
        <v>921</v>
      </c>
      <c r="X44" t="s">
        <v>573</v>
      </c>
    </row>
    <row r="45" spans="1:24">
      <c r="A45" t="s">
        <v>855</v>
      </c>
      <c r="F45">
        <v>6017690</v>
      </c>
      <c r="G45" t="s">
        <v>922</v>
      </c>
      <c r="H45" t="s">
        <v>37</v>
      </c>
      <c r="I45">
        <v>0</v>
      </c>
      <c r="J45">
        <v>2</v>
      </c>
      <c r="K45">
        <v>0</v>
      </c>
      <c r="L45">
        <v>1</v>
      </c>
      <c r="M45">
        <v>0</v>
      </c>
      <c r="N45">
        <v>2</v>
      </c>
      <c r="O45">
        <v>5</v>
      </c>
      <c r="P45">
        <v>2</v>
      </c>
      <c r="Q45">
        <v>3</v>
      </c>
      <c r="R45">
        <v>1</v>
      </c>
      <c r="S45">
        <v>1</v>
      </c>
      <c r="T45">
        <v>1</v>
      </c>
      <c r="U45">
        <v>1</v>
      </c>
      <c r="W45" t="s">
        <v>923</v>
      </c>
      <c r="X45" t="s">
        <v>582</v>
      </c>
    </row>
    <row r="46" spans="1:24">
      <c r="A46" t="s">
        <v>855</v>
      </c>
      <c r="F46">
        <v>6498965</v>
      </c>
      <c r="G46" t="s">
        <v>924</v>
      </c>
      <c r="H46" t="s">
        <v>869</v>
      </c>
      <c r="I46">
        <v>0</v>
      </c>
      <c r="W46" t="s">
        <v>925</v>
      </c>
      <c r="X46" t="s">
        <v>592</v>
      </c>
    </row>
    <row r="47" spans="1:24">
      <c r="A47" t="s">
        <v>855</v>
      </c>
      <c r="F47">
        <v>7771789</v>
      </c>
      <c r="G47" t="s">
        <v>926</v>
      </c>
      <c r="H47" t="s">
        <v>51</v>
      </c>
      <c r="I47">
        <v>0</v>
      </c>
      <c r="W47" t="s">
        <v>927</v>
      </c>
      <c r="X47" t="s">
        <v>602</v>
      </c>
    </row>
    <row r="48" spans="1:24">
      <c r="A48" t="s">
        <v>855</v>
      </c>
      <c r="F48">
        <v>6424759</v>
      </c>
      <c r="G48" t="s">
        <v>928</v>
      </c>
      <c r="H48" t="s">
        <v>869</v>
      </c>
      <c r="I48">
        <v>0</v>
      </c>
      <c r="W48" t="s">
        <v>929</v>
      </c>
      <c r="X48" t="s">
        <v>611</v>
      </c>
    </row>
    <row r="49" spans="1:24">
      <c r="A49" t="s">
        <v>855</v>
      </c>
      <c r="F49">
        <v>7110111</v>
      </c>
      <c r="G49" t="s">
        <v>231</v>
      </c>
      <c r="H49" t="s">
        <v>51</v>
      </c>
      <c r="I49">
        <v>1</v>
      </c>
      <c r="W49" t="s">
        <v>930</v>
      </c>
      <c r="X49" t="s">
        <v>620</v>
      </c>
    </row>
    <row r="50" spans="1:24">
      <c r="W50" t="s">
        <v>931</v>
      </c>
      <c r="X50" t="s">
        <v>629</v>
      </c>
    </row>
    <row r="51" spans="1:24">
      <c r="A51" t="s">
        <v>856</v>
      </c>
      <c r="B51" t="s">
        <v>932</v>
      </c>
      <c r="C51" t="s">
        <v>933</v>
      </c>
      <c r="D51" t="s">
        <v>934</v>
      </c>
      <c r="E51" t="s">
        <v>853</v>
      </c>
      <c r="F51">
        <v>7788720</v>
      </c>
      <c r="G51" t="s">
        <v>250</v>
      </c>
      <c r="H51" t="s">
        <v>51</v>
      </c>
      <c r="I51">
        <v>1</v>
      </c>
      <c r="J51">
        <v>2</v>
      </c>
      <c r="K51">
        <v>0</v>
      </c>
      <c r="L51">
        <v>0</v>
      </c>
      <c r="M51">
        <v>0</v>
      </c>
      <c r="N51">
        <v>3</v>
      </c>
      <c r="O51">
        <v>5</v>
      </c>
      <c r="P51">
        <v>3</v>
      </c>
      <c r="Q51">
        <v>2</v>
      </c>
      <c r="R51">
        <v>2</v>
      </c>
      <c r="S51">
        <v>0</v>
      </c>
      <c r="T51">
        <v>0</v>
      </c>
      <c r="U51">
        <v>1</v>
      </c>
      <c r="W51" t="s">
        <v>935</v>
      </c>
      <c r="X51" t="s">
        <v>638</v>
      </c>
    </row>
    <row r="52" spans="1:24">
      <c r="A52" t="s">
        <v>856</v>
      </c>
      <c r="F52">
        <v>5901138</v>
      </c>
      <c r="G52" t="s">
        <v>936</v>
      </c>
      <c r="H52" t="s">
        <v>869</v>
      </c>
      <c r="I52">
        <v>0</v>
      </c>
      <c r="W52" t="s">
        <v>937</v>
      </c>
      <c r="X52" t="s">
        <v>647</v>
      </c>
    </row>
    <row r="53" spans="1:24">
      <c r="A53" t="s">
        <v>856</v>
      </c>
      <c r="F53">
        <v>5884977</v>
      </c>
      <c r="G53" t="s">
        <v>938</v>
      </c>
      <c r="H53" t="s">
        <v>869</v>
      </c>
      <c r="I53">
        <v>0</v>
      </c>
      <c r="W53" t="s">
        <v>939</v>
      </c>
      <c r="X53" t="s">
        <v>657</v>
      </c>
    </row>
    <row r="54" spans="1:24">
      <c r="A54" t="s">
        <v>856</v>
      </c>
      <c r="F54">
        <v>6342507</v>
      </c>
      <c r="G54" t="s">
        <v>940</v>
      </c>
      <c r="H54" t="s">
        <v>51</v>
      </c>
      <c r="I54">
        <v>0</v>
      </c>
      <c r="W54" t="str">
        <f>Geral!D41</f>
        <v>Biblioteca Paulo Duarte</v>
      </c>
      <c r="X54" t="str">
        <f>Geral!K41</f>
        <v>Sueli,Roseli,Adilva</v>
      </c>
    </row>
    <row r="55" spans="1:24">
      <c r="A55" t="s">
        <v>856</v>
      </c>
      <c r="F55">
        <v>6511538</v>
      </c>
      <c r="G55" t="s">
        <v>941</v>
      </c>
      <c r="H55" t="s">
        <v>869</v>
      </c>
      <c r="I55">
        <v>0</v>
      </c>
      <c r="W55" t="str">
        <f>Geral!D43</f>
        <v>Biblioteca Paulo Setúbal</v>
      </c>
      <c r="X55" t="str">
        <f>Geral!K43</f>
        <v>Sueli,Roseli,Adilva</v>
      </c>
    </row>
    <row r="57" spans="1:24">
      <c r="A57" t="s">
        <v>858</v>
      </c>
      <c r="F57">
        <v>5229740</v>
      </c>
      <c r="G57" t="s">
        <v>942</v>
      </c>
      <c r="H57" t="s">
        <v>41</v>
      </c>
      <c r="I57">
        <v>0</v>
      </c>
      <c r="J57">
        <v>1</v>
      </c>
      <c r="K57">
        <v>0</v>
      </c>
      <c r="L57">
        <v>0</v>
      </c>
      <c r="M57">
        <v>1</v>
      </c>
      <c r="N57">
        <v>0</v>
      </c>
      <c r="O57">
        <v>2</v>
      </c>
      <c r="P57">
        <v>0</v>
      </c>
      <c r="Q57">
        <v>2</v>
      </c>
      <c r="R57">
        <v>1</v>
      </c>
      <c r="S57">
        <v>0</v>
      </c>
      <c r="T57">
        <v>2</v>
      </c>
      <c r="U57">
        <v>1</v>
      </c>
    </row>
    <row r="58" spans="1:24">
      <c r="A58" t="s">
        <v>858</v>
      </c>
      <c r="F58">
        <v>7786263</v>
      </c>
      <c r="G58" t="s">
        <v>260</v>
      </c>
      <c r="H58" t="s">
        <v>51</v>
      </c>
      <c r="I58">
        <v>1</v>
      </c>
    </row>
    <row r="60" spans="1:24">
      <c r="A60" t="s">
        <v>860</v>
      </c>
      <c r="B60" t="s">
        <v>943</v>
      </c>
      <c r="C60" t="s">
        <v>943</v>
      </c>
      <c r="D60" t="s">
        <v>943</v>
      </c>
      <c r="E60" t="s">
        <v>867</v>
      </c>
      <c r="F60">
        <v>7793863</v>
      </c>
      <c r="G60" t="s">
        <v>270</v>
      </c>
      <c r="H60" t="s">
        <v>51</v>
      </c>
      <c r="I60">
        <v>1</v>
      </c>
      <c r="J60">
        <v>2</v>
      </c>
      <c r="K60">
        <v>0</v>
      </c>
      <c r="L60">
        <v>2</v>
      </c>
      <c r="M60">
        <v>1</v>
      </c>
      <c r="N60">
        <v>0</v>
      </c>
      <c r="O60">
        <v>5</v>
      </c>
      <c r="P60">
        <v>0</v>
      </c>
      <c r="Q60">
        <v>5</v>
      </c>
      <c r="R60">
        <v>1</v>
      </c>
      <c r="S60">
        <v>1</v>
      </c>
      <c r="T60">
        <v>2</v>
      </c>
      <c r="U60">
        <v>2</v>
      </c>
    </row>
    <row r="61" spans="1:24">
      <c r="A61" t="s">
        <v>860</v>
      </c>
      <c r="F61">
        <v>5225558</v>
      </c>
      <c r="G61" t="s">
        <v>944</v>
      </c>
      <c r="H61" t="s">
        <v>37</v>
      </c>
      <c r="I61">
        <v>0</v>
      </c>
    </row>
    <row r="62" spans="1:24">
      <c r="A62" t="s">
        <v>860</v>
      </c>
      <c r="F62">
        <v>5895634</v>
      </c>
      <c r="G62" t="s">
        <v>945</v>
      </c>
      <c r="H62" t="s">
        <v>41</v>
      </c>
      <c r="I62">
        <v>0</v>
      </c>
    </row>
    <row r="63" spans="1:24">
      <c r="A63" t="s">
        <v>860</v>
      </c>
      <c r="F63">
        <v>7344589</v>
      </c>
      <c r="G63" t="s">
        <v>946</v>
      </c>
      <c r="H63" t="s">
        <v>37</v>
      </c>
      <c r="I63">
        <v>0</v>
      </c>
    </row>
    <row r="64" spans="1:24">
      <c r="A64" t="s">
        <v>860</v>
      </c>
      <c r="F64">
        <v>8504491</v>
      </c>
      <c r="G64" t="s">
        <v>947</v>
      </c>
      <c r="H64" t="s">
        <v>51</v>
      </c>
      <c r="I64">
        <v>0</v>
      </c>
    </row>
    <row r="66" spans="1:21">
      <c r="A66" t="s">
        <v>862</v>
      </c>
      <c r="B66" t="s">
        <v>279</v>
      </c>
      <c r="C66" t="s">
        <v>279</v>
      </c>
      <c r="D66" t="s">
        <v>279</v>
      </c>
      <c r="E66" t="s">
        <v>948</v>
      </c>
      <c r="F66">
        <v>7786140</v>
      </c>
      <c r="G66" t="s">
        <v>280</v>
      </c>
      <c r="H66" t="s">
        <v>51</v>
      </c>
      <c r="I66">
        <v>1</v>
      </c>
      <c r="J66">
        <v>2</v>
      </c>
      <c r="K66">
        <v>0</v>
      </c>
      <c r="L66">
        <v>1</v>
      </c>
      <c r="M66">
        <v>0</v>
      </c>
      <c r="N66">
        <v>2</v>
      </c>
      <c r="O66">
        <v>5</v>
      </c>
      <c r="P66">
        <v>2</v>
      </c>
      <c r="Q66">
        <v>3</v>
      </c>
      <c r="R66">
        <v>1</v>
      </c>
      <c r="S66">
        <v>0</v>
      </c>
      <c r="T66">
        <v>2</v>
      </c>
      <c r="U66">
        <v>1</v>
      </c>
    </row>
    <row r="67" spans="1:21">
      <c r="A67" t="s">
        <v>862</v>
      </c>
      <c r="F67">
        <v>5891507</v>
      </c>
      <c r="G67" t="s">
        <v>949</v>
      </c>
      <c r="H67" t="s">
        <v>869</v>
      </c>
      <c r="I67">
        <v>0</v>
      </c>
    </row>
    <row r="68" spans="1:21">
      <c r="A68" t="s">
        <v>862</v>
      </c>
      <c r="F68">
        <v>7786034</v>
      </c>
      <c r="G68" t="s">
        <v>950</v>
      </c>
      <c r="H68" t="s">
        <v>51</v>
      </c>
      <c r="I68">
        <v>0</v>
      </c>
    </row>
    <row r="69" spans="1:21">
      <c r="A69" t="s">
        <v>862</v>
      </c>
      <c r="F69">
        <v>6501397</v>
      </c>
      <c r="G69" t="s">
        <v>951</v>
      </c>
      <c r="H69" t="s">
        <v>869</v>
      </c>
      <c r="I69">
        <v>0</v>
      </c>
    </row>
    <row r="70" spans="1:21">
      <c r="A70" t="s">
        <v>862</v>
      </c>
      <c r="F70">
        <v>7426992</v>
      </c>
      <c r="G70" t="s">
        <v>952</v>
      </c>
      <c r="H70" t="s">
        <v>37</v>
      </c>
      <c r="I70">
        <v>0</v>
      </c>
    </row>
    <row r="72" spans="1:21">
      <c r="A72" t="s">
        <v>863</v>
      </c>
      <c r="B72" t="s">
        <v>159</v>
      </c>
      <c r="C72" t="s">
        <v>953</v>
      </c>
      <c r="D72" t="s">
        <v>953</v>
      </c>
      <c r="E72" t="s">
        <v>853</v>
      </c>
      <c r="F72">
        <v>5290821</v>
      </c>
      <c r="G72" t="s">
        <v>954</v>
      </c>
      <c r="H72" t="s">
        <v>41</v>
      </c>
      <c r="I72">
        <v>0</v>
      </c>
      <c r="J72">
        <v>1</v>
      </c>
      <c r="K72">
        <v>0</v>
      </c>
      <c r="L72">
        <v>1</v>
      </c>
      <c r="M72">
        <v>2</v>
      </c>
      <c r="N72">
        <v>0</v>
      </c>
      <c r="O72">
        <v>4</v>
      </c>
      <c r="P72">
        <v>0</v>
      </c>
      <c r="Q72">
        <v>4</v>
      </c>
      <c r="R72">
        <v>4</v>
      </c>
      <c r="S72">
        <v>1</v>
      </c>
      <c r="T72">
        <v>2</v>
      </c>
      <c r="U72">
        <v>1</v>
      </c>
    </row>
    <row r="73" spans="1:21">
      <c r="A73" t="s">
        <v>863</v>
      </c>
      <c r="F73">
        <v>5905958</v>
      </c>
      <c r="G73" t="s">
        <v>955</v>
      </c>
      <c r="H73" t="s">
        <v>41</v>
      </c>
      <c r="I73">
        <v>0</v>
      </c>
    </row>
    <row r="74" spans="1:21">
      <c r="A74" t="s">
        <v>863</v>
      </c>
      <c r="F74">
        <v>7264798</v>
      </c>
      <c r="G74" t="s">
        <v>956</v>
      </c>
      <c r="H74" t="s">
        <v>37</v>
      </c>
      <c r="I74">
        <v>0</v>
      </c>
    </row>
    <row r="75" spans="1:21">
      <c r="A75" t="s">
        <v>863</v>
      </c>
      <c r="F75">
        <v>8552118</v>
      </c>
      <c r="G75" t="s">
        <v>288</v>
      </c>
      <c r="H75" t="s">
        <v>51</v>
      </c>
      <c r="I75">
        <v>1</v>
      </c>
    </row>
    <row r="77" spans="1:21">
      <c r="A77" t="s">
        <v>870</v>
      </c>
      <c r="B77" t="s">
        <v>219</v>
      </c>
      <c r="C77" t="s">
        <v>957</v>
      </c>
      <c r="D77" t="s">
        <v>958</v>
      </c>
      <c r="E77" t="s">
        <v>959</v>
      </c>
      <c r="F77">
        <v>5814219</v>
      </c>
      <c r="G77" t="s">
        <v>960</v>
      </c>
      <c r="H77" t="s">
        <v>869</v>
      </c>
      <c r="J77">
        <v>2</v>
      </c>
      <c r="K77">
        <v>0</v>
      </c>
      <c r="L77">
        <v>0</v>
      </c>
      <c r="M77">
        <v>2</v>
      </c>
      <c r="N77">
        <v>1</v>
      </c>
      <c r="O77">
        <v>5</v>
      </c>
      <c r="P77">
        <v>1</v>
      </c>
      <c r="Q77">
        <v>4</v>
      </c>
      <c r="R77">
        <v>1</v>
      </c>
      <c r="S77">
        <v>1</v>
      </c>
      <c r="T77">
        <v>1</v>
      </c>
      <c r="U77">
        <v>1</v>
      </c>
    </row>
    <row r="78" spans="1:21">
      <c r="A78" t="s">
        <v>870</v>
      </c>
      <c r="F78">
        <v>5900930</v>
      </c>
      <c r="G78" t="s">
        <v>961</v>
      </c>
      <c r="H78" t="s">
        <v>41</v>
      </c>
    </row>
    <row r="79" spans="1:21">
      <c r="A79" t="s">
        <v>870</v>
      </c>
      <c r="F79">
        <v>7786336</v>
      </c>
      <c r="G79" t="s">
        <v>297</v>
      </c>
      <c r="H79" t="s">
        <v>51</v>
      </c>
      <c r="I79">
        <v>1</v>
      </c>
    </row>
    <row r="80" spans="1:21">
      <c r="A80" t="s">
        <v>870</v>
      </c>
      <c r="F80">
        <v>7786026</v>
      </c>
      <c r="G80" t="s">
        <v>962</v>
      </c>
      <c r="H80" t="s">
        <v>51</v>
      </c>
    </row>
    <row r="81" spans="1:21">
      <c r="A81" t="s">
        <v>870</v>
      </c>
      <c r="F81">
        <v>6545025</v>
      </c>
      <c r="G81" t="s">
        <v>963</v>
      </c>
      <c r="H81" t="s">
        <v>41</v>
      </c>
    </row>
    <row r="83" spans="1:21">
      <c r="A83" t="s">
        <v>872</v>
      </c>
      <c r="F83">
        <v>6127941</v>
      </c>
      <c r="G83" t="s">
        <v>964</v>
      </c>
      <c r="H83" t="s">
        <v>869</v>
      </c>
      <c r="I83">
        <v>0</v>
      </c>
      <c r="J83">
        <v>1</v>
      </c>
      <c r="K83">
        <v>0</v>
      </c>
      <c r="L83">
        <v>0</v>
      </c>
      <c r="M83">
        <v>0</v>
      </c>
      <c r="N83">
        <v>2</v>
      </c>
      <c r="O83">
        <v>3</v>
      </c>
      <c r="P83">
        <v>2</v>
      </c>
      <c r="Q83">
        <v>1</v>
      </c>
      <c r="R83">
        <v>1</v>
      </c>
      <c r="S83">
        <v>0</v>
      </c>
      <c r="T83">
        <v>0</v>
      </c>
      <c r="U83">
        <v>1</v>
      </c>
    </row>
    <row r="84" spans="1:21">
      <c r="A84" t="s">
        <v>872</v>
      </c>
      <c r="F84">
        <v>8552151</v>
      </c>
      <c r="G84" t="s">
        <v>308</v>
      </c>
      <c r="H84" t="s">
        <v>51</v>
      </c>
      <c r="I84">
        <v>1</v>
      </c>
    </row>
    <row r="85" spans="1:21">
      <c r="A85" t="s">
        <v>872</v>
      </c>
      <c r="F85">
        <v>6073786</v>
      </c>
      <c r="G85" t="s">
        <v>965</v>
      </c>
      <c r="H85" t="s">
        <v>869</v>
      </c>
    </row>
    <row r="87" spans="1:21">
      <c r="A87" t="s">
        <v>874</v>
      </c>
      <c r="B87" t="s">
        <v>317</v>
      </c>
      <c r="C87" t="s">
        <v>317</v>
      </c>
      <c r="D87" t="s">
        <v>966</v>
      </c>
      <c r="E87" t="s">
        <v>948</v>
      </c>
      <c r="F87">
        <v>7817274</v>
      </c>
      <c r="G87" t="s">
        <v>967</v>
      </c>
      <c r="H87" t="s">
        <v>41</v>
      </c>
      <c r="J87">
        <v>1</v>
      </c>
      <c r="K87">
        <v>0</v>
      </c>
      <c r="L87">
        <v>0</v>
      </c>
      <c r="M87">
        <v>1</v>
      </c>
      <c r="N87">
        <v>2</v>
      </c>
      <c r="O87">
        <v>4</v>
      </c>
      <c r="P87">
        <v>2</v>
      </c>
      <c r="Q87">
        <v>2</v>
      </c>
      <c r="R87">
        <v>1</v>
      </c>
      <c r="S87">
        <v>1</v>
      </c>
      <c r="T87">
        <v>2</v>
      </c>
      <c r="U87">
        <v>1</v>
      </c>
    </row>
    <row r="88" spans="1:21">
      <c r="A88" t="s">
        <v>874</v>
      </c>
      <c r="F88">
        <v>5918782</v>
      </c>
      <c r="G88" t="s">
        <v>968</v>
      </c>
      <c r="H88" t="s">
        <v>869</v>
      </c>
    </row>
    <row r="89" spans="1:21">
      <c r="A89" t="s">
        <v>874</v>
      </c>
      <c r="F89">
        <v>6288278</v>
      </c>
      <c r="G89" t="s">
        <v>969</v>
      </c>
      <c r="H89" t="s">
        <v>869</v>
      </c>
    </row>
    <row r="90" spans="1:21">
      <c r="A90" t="s">
        <v>874</v>
      </c>
      <c r="F90">
        <v>7787995</v>
      </c>
      <c r="G90" t="s">
        <v>318</v>
      </c>
      <c r="H90" t="s">
        <v>51</v>
      </c>
      <c r="I90">
        <v>1</v>
      </c>
    </row>
    <row r="92" spans="1:21">
      <c r="A92" t="s">
        <v>876</v>
      </c>
      <c r="B92" t="s">
        <v>970</v>
      </c>
      <c r="C92" t="s">
        <v>327</v>
      </c>
      <c r="D92" t="s">
        <v>327</v>
      </c>
      <c r="E92" t="s">
        <v>853</v>
      </c>
      <c r="F92">
        <v>5134943</v>
      </c>
      <c r="G92" t="s">
        <v>971</v>
      </c>
      <c r="H92" t="s">
        <v>41</v>
      </c>
      <c r="I92">
        <v>0</v>
      </c>
      <c r="J92">
        <v>1</v>
      </c>
      <c r="K92">
        <v>0</v>
      </c>
      <c r="L92">
        <v>1</v>
      </c>
      <c r="M92">
        <v>2</v>
      </c>
      <c r="N92">
        <v>0</v>
      </c>
      <c r="O92">
        <v>4</v>
      </c>
      <c r="P92">
        <v>0</v>
      </c>
      <c r="Q92">
        <v>4</v>
      </c>
      <c r="R92">
        <v>4</v>
      </c>
      <c r="S92">
        <v>0</v>
      </c>
      <c r="T92">
        <v>0</v>
      </c>
      <c r="U92">
        <v>1</v>
      </c>
    </row>
    <row r="93" spans="1:21">
      <c r="A93" t="s">
        <v>876</v>
      </c>
      <c r="F93">
        <v>6254951</v>
      </c>
      <c r="G93" t="s">
        <v>972</v>
      </c>
      <c r="H93" t="s">
        <v>41</v>
      </c>
      <c r="I93">
        <v>0</v>
      </c>
    </row>
    <row r="94" spans="1:21">
      <c r="A94" t="s">
        <v>876</v>
      </c>
      <c r="F94">
        <v>8144435</v>
      </c>
      <c r="G94" t="s">
        <v>328</v>
      </c>
      <c r="H94" t="s">
        <v>51</v>
      </c>
      <c r="I94">
        <v>1</v>
      </c>
    </row>
    <row r="95" spans="1:21">
      <c r="A95" t="s">
        <v>876</v>
      </c>
      <c r="F95">
        <v>5899371</v>
      </c>
      <c r="G95" t="s">
        <v>973</v>
      </c>
      <c r="H95" t="s">
        <v>37</v>
      </c>
    </row>
    <row r="97" spans="1:21">
      <c r="A97" t="s">
        <v>878</v>
      </c>
      <c r="B97" t="s">
        <v>943</v>
      </c>
      <c r="C97" t="s">
        <v>974</v>
      </c>
      <c r="D97" t="s">
        <v>975</v>
      </c>
      <c r="E97" t="s">
        <v>867</v>
      </c>
      <c r="F97">
        <v>4762266</v>
      </c>
      <c r="G97" t="s">
        <v>976</v>
      </c>
      <c r="H97" t="s">
        <v>41</v>
      </c>
      <c r="I97">
        <v>0</v>
      </c>
      <c r="J97">
        <v>1</v>
      </c>
      <c r="K97">
        <v>0</v>
      </c>
      <c r="L97">
        <v>0</v>
      </c>
      <c r="M97">
        <v>1</v>
      </c>
      <c r="N97">
        <v>0</v>
      </c>
      <c r="O97">
        <v>2</v>
      </c>
      <c r="P97">
        <v>0</v>
      </c>
      <c r="Q97">
        <v>2</v>
      </c>
      <c r="R97">
        <v>2</v>
      </c>
      <c r="S97">
        <v>1</v>
      </c>
      <c r="T97">
        <v>3</v>
      </c>
      <c r="U97">
        <v>1</v>
      </c>
    </row>
    <row r="98" spans="1:21">
      <c r="A98" t="s">
        <v>878</v>
      </c>
      <c r="F98">
        <v>7154178</v>
      </c>
      <c r="G98" t="s">
        <v>337</v>
      </c>
      <c r="H98" t="s">
        <v>51</v>
      </c>
      <c r="I98">
        <v>1</v>
      </c>
    </row>
    <row r="100" spans="1:21">
      <c r="A100" t="s">
        <v>880</v>
      </c>
      <c r="B100" t="s">
        <v>932</v>
      </c>
      <c r="C100" t="s">
        <v>345</v>
      </c>
      <c r="D100" t="s">
        <v>345</v>
      </c>
      <c r="E100" t="s">
        <v>853</v>
      </c>
      <c r="F100">
        <v>5948673</v>
      </c>
      <c r="G100" t="s">
        <v>977</v>
      </c>
      <c r="H100" t="s">
        <v>41</v>
      </c>
      <c r="I100">
        <v>0</v>
      </c>
      <c r="J100">
        <v>1</v>
      </c>
      <c r="K100">
        <v>0</v>
      </c>
      <c r="L100">
        <v>0</v>
      </c>
      <c r="M100">
        <v>2</v>
      </c>
      <c r="N100">
        <v>0</v>
      </c>
      <c r="O100">
        <v>3</v>
      </c>
      <c r="P100">
        <v>0</v>
      </c>
      <c r="Q100">
        <v>3</v>
      </c>
      <c r="R100">
        <v>1</v>
      </c>
      <c r="S100">
        <v>1</v>
      </c>
      <c r="T100">
        <v>2</v>
      </c>
      <c r="U100">
        <v>1</v>
      </c>
    </row>
    <row r="101" spans="1:21">
      <c r="A101" t="s">
        <v>880</v>
      </c>
      <c r="F101">
        <v>6496962</v>
      </c>
      <c r="G101" t="s">
        <v>978</v>
      </c>
      <c r="H101" t="s">
        <v>41</v>
      </c>
    </row>
    <row r="102" spans="1:21">
      <c r="A102" t="s">
        <v>880</v>
      </c>
      <c r="F102">
        <v>7251505</v>
      </c>
      <c r="G102" t="s">
        <v>346</v>
      </c>
      <c r="H102" t="s">
        <v>51</v>
      </c>
      <c r="I102">
        <v>1</v>
      </c>
    </row>
    <row r="104" spans="1:21">
      <c r="A104" t="s">
        <v>881</v>
      </c>
      <c r="B104" t="s">
        <v>159</v>
      </c>
      <c r="C104" t="s">
        <v>953</v>
      </c>
      <c r="D104" t="s">
        <v>953</v>
      </c>
      <c r="E104" t="s">
        <v>853</v>
      </c>
      <c r="F104">
        <v>1949136</v>
      </c>
      <c r="G104" t="s">
        <v>979</v>
      </c>
      <c r="H104" t="s">
        <v>51</v>
      </c>
      <c r="J104">
        <v>2</v>
      </c>
      <c r="K104">
        <v>0</v>
      </c>
      <c r="L104">
        <v>2</v>
      </c>
      <c r="M104">
        <v>2</v>
      </c>
      <c r="N104">
        <v>0</v>
      </c>
      <c r="O104">
        <v>6</v>
      </c>
      <c r="P104">
        <v>0</v>
      </c>
      <c r="Q104">
        <v>6</v>
      </c>
      <c r="R104">
        <v>4</v>
      </c>
      <c r="S104">
        <v>0</v>
      </c>
      <c r="T104">
        <v>1</v>
      </c>
      <c r="U104">
        <v>1</v>
      </c>
    </row>
    <row r="105" spans="1:21">
      <c r="A105" t="s">
        <v>881</v>
      </c>
      <c r="F105">
        <v>6486801</v>
      </c>
      <c r="G105" t="s">
        <v>980</v>
      </c>
      <c r="H105" t="s">
        <v>37</v>
      </c>
    </row>
    <row r="106" spans="1:21">
      <c r="A106" t="s">
        <v>881</v>
      </c>
      <c r="F106">
        <v>6334652</v>
      </c>
      <c r="G106" t="s">
        <v>981</v>
      </c>
      <c r="H106" t="s">
        <v>37</v>
      </c>
    </row>
    <row r="107" spans="1:21">
      <c r="A107" t="s">
        <v>881</v>
      </c>
      <c r="F107">
        <v>6542387</v>
      </c>
      <c r="G107" t="s">
        <v>982</v>
      </c>
      <c r="H107" t="s">
        <v>41</v>
      </c>
    </row>
    <row r="108" spans="1:21">
      <c r="A108" t="s">
        <v>881</v>
      </c>
      <c r="F108">
        <v>6306080</v>
      </c>
      <c r="G108" t="s">
        <v>983</v>
      </c>
      <c r="H108" t="s">
        <v>41</v>
      </c>
    </row>
    <row r="109" spans="1:21">
      <c r="A109" t="s">
        <v>881</v>
      </c>
      <c r="F109">
        <v>7786204</v>
      </c>
      <c r="G109" t="s">
        <v>353</v>
      </c>
      <c r="H109" t="s">
        <v>51</v>
      </c>
      <c r="I109">
        <v>1</v>
      </c>
    </row>
    <row r="111" spans="1:21">
      <c r="A111" t="s">
        <v>883</v>
      </c>
      <c r="B111" t="s">
        <v>362</v>
      </c>
      <c r="C111" t="s">
        <v>362</v>
      </c>
      <c r="D111" t="s">
        <v>362</v>
      </c>
      <c r="E111" t="s">
        <v>959</v>
      </c>
      <c r="F111">
        <v>6276318</v>
      </c>
      <c r="G111" t="s">
        <v>984</v>
      </c>
      <c r="H111" t="s">
        <v>41</v>
      </c>
      <c r="I111">
        <v>0</v>
      </c>
      <c r="J111">
        <v>1</v>
      </c>
      <c r="K111">
        <v>0</v>
      </c>
      <c r="L111">
        <v>0</v>
      </c>
      <c r="M111">
        <v>3</v>
      </c>
      <c r="N111">
        <v>0</v>
      </c>
      <c r="O111">
        <v>4</v>
      </c>
      <c r="P111">
        <v>0</v>
      </c>
      <c r="Q111">
        <v>4</v>
      </c>
      <c r="R111">
        <v>4</v>
      </c>
      <c r="S111">
        <v>1</v>
      </c>
      <c r="T111">
        <v>2</v>
      </c>
      <c r="U111">
        <v>1</v>
      </c>
    </row>
    <row r="112" spans="1:21">
      <c r="A112" t="s">
        <v>883</v>
      </c>
      <c r="F112">
        <v>7786735</v>
      </c>
      <c r="G112" t="s">
        <v>363</v>
      </c>
      <c r="H112" t="s">
        <v>51</v>
      </c>
      <c r="I112">
        <v>1</v>
      </c>
    </row>
    <row r="113" spans="1:21">
      <c r="A113" t="s">
        <v>883</v>
      </c>
      <c r="F113">
        <v>5187371</v>
      </c>
      <c r="G113" t="s">
        <v>985</v>
      </c>
      <c r="H113" t="s">
        <v>41</v>
      </c>
    </row>
    <row r="114" spans="1:21">
      <c r="A114" t="s">
        <v>883</v>
      </c>
      <c r="F114">
        <v>6169481</v>
      </c>
      <c r="G114" t="s">
        <v>986</v>
      </c>
      <c r="H114" t="s">
        <v>41</v>
      </c>
    </row>
    <row r="116" spans="1:21">
      <c r="A116" t="s">
        <v>885</v>
      </c>
      <c r="B116" t="s">
        <v>970</v>
      </c>
      <c r="C116" t="s">
        <v>987</v>
      </c>
      <c r="D116" t="s">
        <v>327</v>
      </c>
      <c r="E116" t="s">
        <v>853</v>
      </c>
      <c r="F116">
        <v>5420504</v>
      </c>
      <c r="G116" t="s">
        <v>988</v>
      </c>
      <c r="H116" t="s">
        <v>41</v>
      </c>
      <c r="I116">
        <v>0</v>
      </c>
      <c r="J116">
        <v>1</v>
      </c>
      <c r="K116">
        <v>0</v>
      </c>
      <c r="L116">
        <v>1</v>
      </c>
      <c r="M116">
        <v>2</v>
      </c>
      <c r="N116">
        <v>0</v>
      </c>
      <c r="O116">
        <v>4</v>
      </c>
      <c r="P116">
        <v>0</v>
      </c>
      <c r="Q116">
        <v>4</v>
      </c>
      <c r="R116">
        <v>2</v>
      </c>
      <c r="S116">
        <v>1</v>
      </c>
      <c r="T116">
        <v>4</v>
      </c>
      <c r="U116">
        <v>1</v>
      </c>
    </row>
    <row r="117" spans="1:21">
      <c r="A117" t="s">
        <v>885</v>
      </c>
      <c r="F117">
        <v>8504580</v>
      </c>
      <c r="G117" t="s">
        <v>371</v>
      </c>
      <c r="H117" t="s">
        <v>51</v>
      </c>
      <c r="I117">
        <v>1</v>
      </c>
    </row>
    <row r="118" spans="1:21">
      <c r="A118" t="s">
        <v>885</v>
      </c>
      <c r="F118">
        <v>6464483</v>
      </c>
      <c r="G118" t="s">
        <v>989</v>
      </c>
      <c r="H118" t="s">
        <v>37</v>
      </c>
    </row>
    <row r="119" spans="1:21">
      <c r="A119" t="s">
        <v>885</v>
      </c>
      <c r="F119">
        <v>6502148</v>
      </c>
      <c r="G119" t="s">
        <v>990</v>
      </c>
      <c r="H119" t="s">
        <v>41</v>
      </c>
      <c r="I119">
        <v>0</v>
      </c>
    </row>
    <row r="121" spans="1:21">
      <c r="A121" t="s">
        <v>886</v>
      </c>
      <c r="F121" t="s">
        <v>991</v>
      </c>
      <c r="G121" t="s">
        <v>380</v>
      </c>
      <c r="H121" t="s">
        <v>51</v>
      </c>
      <c r="I121">
        <v>1</v>
      </c>
      <c r="J121">
        <v>2</v>
      </c>
      <c r="K121">
        <v>0</v>
      </c>
      <c r="L121">
        <v>0</v>
      </c>
      <c r="M121">
        <v>0</v>
      </c>
      <c r="N121">
        <v>0</v>
      </c>
      <c r="O121">
        <v>2</v>
      </c>
      <c r="P121">
        <v>0</v>
      </c>
      <c r="Q121">
        <v>2</v>
      </c>
      <c r="R121">
        <v>0</v>
      </c>
      <c r="S121">
        <v>2</v>
      </c>
      <c r="T121">
        <v>1</v>
      </c>
      <c r="U121">
        <v>0</v>
      </c>
    </row>
    <row r="122" spans="1:21">
      <c r="A122" t="s">
        <v>886</v>
      </c>
      <c r="F122" t="s">
        <v>992</v>
      </c>
      <c r="G122" t="s">
        <v>993</v>
      </c>
      <c r="H122" t="s">
        <v>51</v>
      </c>
      <c r="I122">
        <v>0</v>
      </c>
    </row>
    <row r="124" spans="1:21">
      <c r="A124" t="s">
        <v>888</v>
      </c>
      <c r="F124">
        <v>5916739</v>
      </c>
      <c r="G124" t="s">
        <v>390</v>
      </c>
      <c r="H124" t="s">
        <v>51</v>
      </c>
      <c r="I124">
        <v>1</v>
      </c>
      <c r="J124">
        <v>1</v>
      </c>
      <c r="K124">
        <v>0</v>
      </c>
      <c r="L124">
        <v>1</v>
      </c>
      <c r="M124">
        <v>3</v>
      </c>
      <c r="N124">
        <v>0</v>
      </c>
      <c r="O124">
        <v>5</v>
      </c>
      <c r="P124">
        <v>0</v>
      </c>
      <c r="Q124">
        <v>5</v>
      </c>
      <c r="R124">
        <v>2</v>
      </c>
      <c r="S124">
        <v>0</v>
      </c>
      <c r="T124">
        <v>2</v>
      </c>
      <c r="U124">
        <v>1</v>
      </c>
    </row>
    <row r="125" spans="1:21">
      <c r="A125" t="s">
        <v>888</v>
      </c>
      <c r="F125">
        <v>6298516</v>
      </c>
      <c r="G125" t="s">
        <v>994</v>
      </c>
      <c r="H125" t="s">
        <v>41</v>
      </c>
      <c r="I125">
        <v>0</v>
      </c>
    </row>
    <row r="126" spans="1:21">
      <c r="A126" t="s">
        <v>888</v>
      </c>
      <c r="F126">
        <v>7409354</v>
      </c>
      <c r="G126" t="s">
        <v>995</v>
      </c>
      <c r="H126" t="s">
        <v>41</v>
      </c>
      <c r="I126">
        <v>0</v>
      </c>
    </row>
    <row r="127" spans="1:21">
      <c r="A127" t="s">
        <v>888</v>
      </c>
      <c r="F127">
        <v>5906776</v>
      </c>
      <c r="G127" t="s">
        <v>996</v>
      </c>
      <c r="H127" t="s">
        <v>37</v>
      </c>
    </row>
    <row r="128" spans="1:21">
      <c r="A128" t="s">
        <v>888</v>
      </c>
      <c r="F128">
        <v>5912733</v>
      </c>
      <c r="G128" t="s">
        <v>997</v>
      </c>
      <c r="H128" t="s">
        <v>41</v>
      </c>
    </row>
    <row r="130" spans="1:21">
      <c r="A130" t="s">
        <v>890</v>
      </c>
      <c r="B130" t="s">
        <v>998</v>
      </c>
      <c r="C130" t="s">
        <v>999</v>
      </c>
      <c r="D130" t="s">
        <v>1000</v>
      </c>
      <c r="E130" t="s">
        <v>867</v>
      </c>
      <c r="F130">
        <v>3133290</v>
      </c>
      <c r="G130" t="s">
        <v>1001</v>
      </c>
      <c r="H130" t="s">
        <v>37</v>
      </c>
      <c r="J130">
        <v>1</v>
      </c>
      <c r="K130">
        <v>0</v>
      </c>
      <c r="L130">
        <v>2</v>
      </c>
      <c r="M130">
        <v>2</v>
      </c>
      <c r="N130">
        <v>0</v>
      </c>
      <c r="O130">
        <v>5</v>
      </c>
      <c r="P130">
        <v>0</v>
      </c>
      <c r="Q130">
        <v>5</v>
      </c>
      <c r="R130">
        <v>0</v>
      </c>
      <c r="S130">
        <v>0</v>
      </c>
      <c r="T130">
        <v>1</v>
      </c>
      <c r="U130">
        <v>0</v>
      </c>
    </row>
    <row r="131" spans="1:21">
      <c r="A131" t="s">
        <v>890</v>
      </c>
      <c r="F131">
        <v>6030777</v>
      </c>
      <c r="G131" t="s">
        <v>1002</v>
      </c>
      <c r="H131" t="s">
        <v>37</v>
      </c>
    </row>
    <row r="132" spans="1:21">
      <c r="A132" t="s">
        <v>890</v>
      </c>
      <c r="F132">
        <v>7843020</v>
      </c>
      <c r="G132" t="s">
        <v>400</v>
      </c>
      <c r="H132" t="s">
        <v>51</v>
      </c>
      <c r="I132">
        <v>1</v>
      </c>
    </row>
    <row r="133" spans="1:21">
      <c r="A133" t="s">
        <v>890</v>
      </c>
      <c r="F133">
        <v>6235760</v>
      </c>
      <c r="G133" t="s">
        <v>1003</v>
      </c>
      <c r="H133" t="s">
        <v>41</v>
      </c>
    </row>
    <row r="134" spans="1:21">
      <c r="A134" t="s">
        <v>890</v>
      </c>
      <c r="F134">
        <v>7930925</v>
      </c>
      <c r="G134" t="s">
        <v>1004</v>
      </c>
      <c r="H134" t="s">
        <v>41</v>
      </c>
      <c r="I134">
        <v>0</v>
      </c>
    </row>
    <row r="136" spans="1:21">
      <c r="A136" t="s">
        <v>891</v>
      </c>
      <c r="F136">
        <v>6439501</v>
      </c>
      <c r="G136" t="s">
        <v>1005</v>
      </c>
      <c r="H136" t="s">
        <v>41</v>
      </c>
      <c r="J136">
        <v>1</v>
      </c>
      <c r="K136">
        <v>0</v>
      </c>
      <c r="L136">
        <v>1</v>
      </c>
      <c r="M136">
        <v>2</v>
      </c>
      <c r="N136">
        <v>2</v>
      </c>
      <c r="O136">
        <v>6</v>
      </c>
      <c r="P136">
        <v>2</v>
      </c>
      <c r="Q136">
        <v>4</v>
      </c>
      <c r="R136">
        <v>2</v>
      </c>
      <c r="S136">
        <v>0</v>
      </c>
      <c r="T136">
        <v>0</v>
      </c>
      <c r="U136">
        <v>1</v>
      </c>
    </row>
    <row r="137" spans="1:21">
      <c r="A137" t="s">
        <v>891</v>
      </c>
      <c r="F137">
        <v>5898111</v>
      </c>
      <c r="G137" t="s">
        <v>409</v>
      </c>
      <c r="H137" t="s">
        <v>51</v>
      </c>
      <c r="I137">
        <v>1</v>
      </c>
    </row>
    <row r="138" spans="1:21">
      <c r="A138" t="s">
        <v>891</v>
      </c>
      <c r="F138">
        <v>5905281</v>
      </c>
      <c r="G138" t="s">
        <v>1006</v>
      </c>
      <c r="H138" t="s">
        <v>37</v>
      </c>
    </row>
    <row r="139" spans="1:21">
      <c r="A139" t="s">
        <v>891</v>
      </c>
      <c r="F139">
        <v>6496547</v>
      </c>
      <c r="G139" t="s">
        <v>1007</v>
      </c>
      <c r="H139" t="s">
        <v>869</v>
      </c>
    </row>
    <row r="140" spans="1:21">
      <c r="A140" t="s">
        <v>891</v>
      </c>
      <c r="F140" t="s">
        <v>1008</v>
      </c>
      <c r="G140" t="s">
        <v>1009</v>
      </c>
      <c r="H140" t="s">
        <v>869</v>
      </c>
      <c r="I140">
        <v>0</v>
      </c>
    </row>
    <row r="141" spans="1:21">
      <c r="A141" t="s">
        <v>891</v>
      </c>
      <c r="F141">
        <v>5588499</v>
      </c>
      <c r="G141" t="s">
        <v>1010</v>
      </c>
      <c r="H141" t="s">
        <v>41</v>
      </c>
    </row>
    <row r="143" spans="1:21">
      <c r="A143" t="s">
        <v>894</v>
      </c>
      <c r="B143" t="s">
        <v>399</v>
      </c>
      <c r="C143" t="s">
        <v>1011</v>
      </c>
      <c r="D143" t="s">
        <v>601</v>
      </c>
      <c r="E143" t="s">
        <v>853</v>
      </c>
      <c r="F143">
        <v>4776712</v>
      </c>
      <c r="G143" t="s">
        <v>1012</v>
      </c>
      <c r="H143" t="s">
        <v>869</v>
      </c>
      <c r="I143">
        <v>0</v>
      </c>
      <c r="J143">
        <v>2</v>
      </c>
      <c r="K143">
        <v>0</v>
      </c>
      <c r="L143">
        <v>0</v>
      </c>
      <c r="M143">
        <v>2</v>
      </c>
      <c r="N143">
        <v>2</v>
      </c>
      <c r="O143">
        <v>6</v>
      </c>
      <c r="P143">
        <v>2</v>
      </c>
      <c r="Q143">
        <v>4</v>
      </c>
      <c r="R143">
        <v>2</v>
      </c>
      <c r="S143">
        <v>0</v>
      </c>
      <c r="T143">
        <v>2</v>
      </c>
      <c r="U143">
        <v>1</v>
      </c>
    </row>
    <row r="144" spans="1:21">
      <c r="A144" t="s">
        <v>894</v>
      </c>
      <c r="F144">
        <v>7786425</v>
      </c>
      <c r="G144" t="s">
        <v>419</v>
      </c>
      <c r="H144" t="s">
        <v>51</v>
      </c>
      <c r="I144">
        <v>1</v>
      </c>
    </row>
    <row r="145" spans="1:21">
      <c r="A145" t="s">
        <v>894</v>
      </c>
      <c r="F145">
        <v>5862108</v>
      </c>
      <c r="G145" t="s">
        <v>1013</v>
      </c>
      <c r="H145" t="s">
        <v>41</v>
      </c>
    </row>
    <row r="146" spans="1:21">
      <c r="A146" t="s">
        <v>894</v>
      </c>
      <c r="F146">
        <v>5948886</v>
      </c>
      <c r="G146" t="s">
        <v>1014</v>
      </c>
      <c r="H146" t="s">
        <v>869</v>
      </c>
    </row>
    <row r="147" spans="1:21">
      <c r="A147" t="s">
        <v>894</v>
      </c>
      <c r="F147">
        <v>5955611</v>
      </c>
      <c r="G147" t="s">
        <v>1015</v>
      </c>
      <c r="H147" t="s">
        <v>41</v>
      </c>
    </row>
    <row r="148" spans="1:21">
      <c r="A148" t="s">
        <v>894</v>
      </c>
      <c r="F148">
        <v>7254164</v>
      </c>
      <c r="G148" t="s">
        <v>1016</v>
      </c>
      <c r="H148" t="s">
        <v>51</v>
      </c>
    </row>
    <row r="150" spans="1:21">
      <c r="A150" t="s">
        <v>896</v>
      </c>
      <c r="F150">
        <v>5852331</v>
      </c>
      <c r="G150" t="s">
        <v>1017</v>
      </c>
      <c r="H150" t="s">
        <v>41</v>
      </c>
      <c r="J150">
        <v>2</v>
      </c>
      <c r="K150">
        <v>0</v>
      </c>
      <c r="L150">
        <v>0</v>
      </c>
      <c r="M150">
        <v>2</v>
      </c>
      <c r="N150">
        <v>1</v>
      </c>
      <c r="O150">
        <v>5</v>
      </c>
      <c r="P150">
        <v>1</v>
      </c>
      <c r="Q150">
        <v>4</v>
      </c>
      <c r="R150">
        <v>1</v>
      </c>
      <c r="S150">
        <v>1</v>
      </c>
      <c r="T150">
        <v>1</v>
      </c>
      <c r="U150">
        <v>1</v>
      </c>
    </row>
    <row r="151" spans="1:21">
      <c r="A151" t="s">
        <v>896</v>
      </c>
      <c r="F151">
        <v>6036317</v>
      </c>
      <c r="G151" t="s">
        <v>1018</v>
      </c>
      <c r="H151" t="s">
        <v>51</v>
      </c>
      <c r="I151">
        <v>0</v>
      </c>
    </row>
    <row r="152" spans="1:21">
      <c r="A152" t="s">
        <v>896</v>
      </c>
      <c r="F152">
        <v>6090672</v>
      </c>
      <c r="G152" t="s">
        <v>1019</v>
      </c>
      <c r="H152" t="s">
        <v>41</v>
      </c>
    </row>
    <row r="153" spans="1:21">
      <c r="A153" t="s">
        <v>896</v>
      </c>
      <c r="F153">
        <v>5181364</v>
      </c>
      <c r="G153" t="s">
        <v>1020</v>
      </c>
      <c r="H153" t="s">
        <v>869</v>
      </c>
      <c r="I153">
        <v>0</v>
      </c>
    </row>
    <row r="154" spans="1:21">
      <c r="A154" t="s">
        <v>896</v>
      </c>
      <c r="F154">
        <v>6213456</v>
      </c>
      <c r="G154" t="s">
        <v>429</v>
      </c>
      <c r="H154" t="s">
        <v>51</v>
      </c>
      <c r="I154">
        <v>1</v>
      </c>
    </row>
    <row r="156" spans="1:21">
      <c r="A156" t="s">
        <v>897</v>
      </c>
      <c r="B156" t="s">
        <v>428</v>
      </c>
      <c r="C156" t="s">
        <v>1021</v>
      </c>
      <c r="D156" t="s">
        <v>1022</v>
      </c>
      <c r="E156" t="s">
        <v>959</v>
      </c>
      <c r="F156">
        <v>7114214</v>
      </c>
      <c r="G156" t="s">
        <v>438</v>
      </c>
      <c r="H156" t="s">
        <v>51</v>
      </c>
      <c r="I156">
        <v>1</v>
      </c>
      <c r="J156">
        <v>1</v>
      </c>
      <c r="K156">
        <v>0</v>
      </c>
      <c r="L156">
        <v>2</v>
      </c>
      <c r="M156">
        <v>0</v>
      </c>
      <c r="N156">
        <v>1</v>
      </c>
      <c r="O156">
        <v>4</v>
      </c>
      <c r="P156">
        <v>1</v>
      </c>
      <c r="Q156">
        <v>3</v>
      </c>
      <c r="R156">
        <v>2</v>
      </c>
      <c r="S156">
        <v>1</v>
      </c>
      <c r="T156">
        <v>2</v>
      </c>
      <c r="U156">
        <v>1</v>
      </c>
    </row>
    <row r="157" spans="1:21">
      <c r="A157" t="s">
        <v>897</v>
      </c>
      <c r="F157">
        <v>6503551</v>
      </c>
      <c r="G157" t="s">
        <v>1023</v>
      </c>
      <c r="H157" t="s">
        <v>869</v>
      </c>
    </row>
    <row r="158" spans="1:21">
      <c r="A158" t="s">
        <v>897</v>
      </c>
      <c r="F158">
        <v>7055684</v>
      </c>
      <c r="G158" t="s">
        <v>1024</v>
      </c>
      <c r="H158" t="s">
        <v>37</v>
      </c>
    </row>
    <row r="159" spans="1:21">
      <c r="A159" t="s">
        <v>897</v>
      </c>
      <c r="F159">
        <v>6402682</v>
      </c>
      <c r="G159" t="s">
        <v>1025</v>
      </c>
      <c r="H159" t="s">
        <v>37</v>
      </c>
    </row>
    <row r="161" spans="1:21">
      <c r="A161" t="s">
        <v>901</v>
      </c>
      <c r="B161" t="s">
        <v>362</v>
      </c>
      <c r="C161" t="s">
        <v>362</v>
      </c>
      <c r="D161" t="s">
        <v>1026</v>
      </c>
      <c r="E161" t="s">
        <v>959</v>
      </c>
      <c r="F161">
        <v>6018025</v>
      </c>
      <c r="G161" t="s">
        <v>1027</v>
      </c>
      <c r="H161" t="s">
        <v>51</v>
      </c>
      <c r="I161">
        <v>0</v>
      </c>
      <c r="J161">
        <v>3</v>
      </c>
      <c r="K161">
        <v>0</v>
      </c>
      <c r="L161">
        <v>0</v>
      </c>
      <c r="M161">
        <v>1</v>
      </c>
      <c r="N161">
        <v>0</v>
      </c>
      <c r="O161">
        <v>4</v>
      </c>
      <c r="P161">
        <v>0</v>
      </c>
      <c r="Q161">
        <v>4</v>
      </c>
      <c r="R161">
        <v>1</v>
      </c>
      <c r="S161">
        <v>1</v>
      </c>
      <c r="T161">
        <v>1</v>
      </c>
      <c r="U161">
        <v>3</v>
      </c>
    </row>
    <row r="162" spans="1:21">
      <c r="A162" t="s">
        <v>901</v>
      </c>
      <c r="F162">
        <v>6302874</v>
      </c>
      <c r="G162" t="s">
        <v>1028</v>
      </c>
      <c r="H162" t="s">
        <v>41</v>
      </c>
      <c r="I162">
        <v>0</v>
      </c>
    </row>
    <row r="163" spans="1:21">
      <c r="A163" t="s">
        <v>901</v>
      </c>
      <c r="F163">
        <v>8504482</v>
      </c>
      <c r="G163" t="s">
        <v>1029</v>
      </c>
      <c r="H163" t="s">
        <v>51</v>
      </c>
    </row>
    <row r="164" spans="1:21">
      <c r="A164" t="s">
        <v>901</v>
      </c>
      <c r="F164">
        <v>8504547</v>
      </c>
      <c r="G164" t="s">
        <v>447</v>
      </c>
      <c r="H164" t="s">
        <v>51</v>
      </c>
      <c r="I164">
        <v>1</v>
      </c>
    </row>
    <row r="166" spans="1:21">
      <c r="A166" t="s">
        <v>902</v>
      </c>
      <c r="B166" t="s">
        <v>317</v>
      </c>
      <c r="C166" t="s">
        <v>317</v>
      </c>
      <c r="D166" t="s">
        <v>317</v>
      </c>
      <c r="E166" t="s">
        <v>948</v>
      </c>
      <c r="F166">
        <v>7786522</v>
      </c>
      <c r="G166" t="s">
        <v>455</v>
      </c>
      <c r="H166" t="s">
        <v>51</v>
      </c>
      <c r="I166">
        <v>1</v>
      </c>
      <c r="J166">
        <v>1</v>
      </c>
      <c r="K166">
        <v>1</v>
      </c>
      <c r="L166">
        <v>1</v>
      </c>
      <c r="M166">
        <v>3</v>
      </c>
      <c r="N166">
        <v>0</v>
      </c>
      <c r="O166">
        <v>6</v>
      </c>
      <c r="P166">
        <v>0</v>
      </c>
      <c r="Q166">
        <v>6</v>
      </c>
      <c r="R166">
        <v>1</v>
      </c>
      <c r="S166">
        <v>0</v>
      </c>
      <c r="T166">
        <v>2</v>
      </c>
      <c r="U166">
        <v>1</v>
      </c>
    </row>
    <row r="167" spans="1:21">
      <c r="A167" t="s">
        <v>902</v>
      </c>
      <c r="F167">
        <v>5908779</v>
      </c>
      <c r="G167" t="s">
        <v>1030</v>
      </c>
      <c r="H167" t="s">
        <v>37</v>
      </c>
      <c r="I167">
        <v>0</v>
      </c>
    </row>
    <row r="168" spans="1:21">
      <c r="A168" t="s">
        <v>902</v>
      </c>
      <c r="F168">
        <v>7897928</v>
      </c>
      <c r="G168" t="s">
        <v>1031</v>
      </c>
      <c r="H168" t="s">
        <v>88</v>
      </c>
      <c r="I168">
        <v>0</v>
      </c>
    </row>
    <row r="169" spans="1:21">
      <c r="A169" t="s">
        <v>902</v>
      </c>
      <c r="F169">
        <v>6503438</v>
      </c>
      <c r="G169" t="s">
        <v>1032</v>
      </c>
      <c r="H169" t="s">
        <v>41</v>
      </c>
      <c r="I169">
        <v>0</v>
      </c>
    </row>
    <row r="170" spans="1:21">
      <c r="A170" t="s">
        <v>902</v>
      </c>
      <c r="F170">
        <v>6262074</v>
      </c>
      <c r="G170" t="s">
        <v>1033</v>
      </c>
      <c r="H170" t="s">
        <v>41</v>
      </c>
    </row>
    <row r="171" spans="1:21">
      <c r="A171" t="s">
        <v>902</v>
      </c>
      <c r="F171">
        <v>6431992</v>
      </c>
      <c r="G171" t="s">
        <v>1034</v>
      </c>
      <c r="H171" t="s">
        <v>41</v>
      </c>
      <c r="I171">
        <v>0</v>
      </c>
    </row>
    <row r="173" spans="1:21">
      <c r="A173" t="s">
        <v>904</v>
      </c>
      <c r="F173">
        <v>5816955</v>
      </c>
      <c r="G173" t="s">
        <v>1035</v>
      </c>
      <c r="H173" t="s">
        <v>37</v>
      </c>
      <c r="I173">
        <v>0</v>
      </c>
      <c r="J173">
        <v>2</v>
      </c>
      <c r="K173">
        <v>0</v>
      </c>
      <c r="L173">
        <v>1</v>
      </c>
      <c r="M173">
        <v>0</v>
      </c>
      <c r="N173">
        <v>0</v>
      </c>
      <c r="O173">
        <v>3</v>
      </c>
      <c r="P173">
        <v>0</v>
      </c>
      <c r="Q173">
        <v>3</v>
      </c>
      <c r="R173">
        <v>2</v>
      </c>
      <c r="S173">
        <v>0</v>
      </c>
      <c r="T173">
        <v>2</v>
      </c>
      <c r="U173">
        <v>1</v>
      </c>
    </row>
    <row r="174" spans="1:21">
      <c r="A174" t="s">
        <v>904</v>
      </c>
      <c r="F174">
        <v>7155077</v>
      </c>
      <c r="G174" t="s">
        <v>1036</v>
      </c>
      <c r="H174" t="s">
        <v>51</v>
      </c>
      <c r="I174">
        <v>0</v>
      </c>
    </row>
    <row r="175" spans="1:21">
      <c r="A175" t="s">
        <v>904</v>
      </c>
      <c r="F175">
        <v>8552100</v>
      </c>
      <c r="G175" t="s">
        <v>464</v>
      </c>
      <c r="H175" t="s">
        <v>51</v>
      </c>
      <c r="I175">
        <v>1</v>
      </c>
    </row>
    <row r="177" spans="1:21">
      <c r="A177" t="s">
        <v>906</v>
      </c>
      <c r="B177" t="s">
        <v>473</v>
      </c>
      <c r="C177" t="s">
        <v>1037</v>
      </c>
      <c r="D177" t="s">
        <v>1038</v>
      </c>
      <c r="E177" t="s">
        <v>474</v>
      </c>
      <c r="F177">
        <v>7110103</v>
      </c>
      <c r="G177" t="s">
        <v>1039</v>
      </c>
      <c r="H177" t="s">
        <v>51</v>
      </c>
      <c r="J177">
        <v>7</v>
      </c>
      <c r="K177">
        <v>1</v>
      </c>
      <c r="L177">
        <v>4</v>
      </c>
      <c r="M177">
        <v>1</v>
      </c>
      <c r="N177">
        <v>0</v>
      </c>
      <c r="O177">
        <v>13</v>
      </c>
      <c r="P177">
        <v>0</v>
      </c>
      <c r="Q177">
        <v>13</v>
      </c>
      <c r="R177">
        <v>3</v>
      </c>
      <c r="S177">
        <v>1</v>
      </c>
      <c r="T177">
        <v>3</v>
      </c>
      <c r="U177">
        <v>3</v>
      </c>
    </row>
    <row r="178" spans="1:21">
      <c r="A178" t="s">
        <v>906</v>
      </c>
      <c r="F178">
        <v>5913373</v>
      </c>
      <c r="G178" t="s">
        <v>1040</v>
      </c>
      <c r="H178" t="s">
        <v>37</v>
      </c>
    </row>
    <row r="179" spans="1:21">
      <c r="A179" t="s">
        <v>906</v>
      </c>
      <c r="F179">
        <v>6219624</v>
      </c>
      <c r="G179" t="s">
        <v>475</v>
      </c>
      <c r="H179" t="s">
        <v>51</v>
      </c>
      <c r="I179">
        <v>1</v>
      </c>
    </row>
    <row r="180" spans="1:21">
      <c r="A180" t="s">
        <v>906</v>
      </c>
      <c r="F180">
        <v>7273118</v>
      </c>
      <c r="G180" t="s">
        <v>1041</v>
      </c>
      <c r="H180" t="s">
        <v>88</v>
      </c>
      <c r="I180">
        <v>0</v>
      </c>
    </row>
    <row r="181" spans="1:21">
      <c r="A181" t="s">
        <v>906</v>
      </c>
      <c r="F181">
        <v>6213332</v>
      </c>
      <c r="G181" t="s">
        <v>1042</v>
      </c>
      <c r="H181" t="s">
        <v>51</v>
      </c>
      <c r="I181">
        <v>0</v>
      </c>
    </row>
    <row r="182" spans="1:21">
      <c r="A182" t="s">
        <v>906</v>
      </c>
      <c r="F182">
        <v>7786760</v>
      </c>
      <c r="G182" t="s">
        <v>1043</v>
      </c>
      <c r="H182" t="s">
        <v>51</v>
      </c>
      <c r="I182">
        <v>0</v>
      </c>
    </row>
    <row r="183" spans="1:21">
      <c r="A183" t="s">
        <v>906</v>
      </c>
      <c r="F183">
        <v>6124976</v>
      </c>
      <c r="G183" t="s">
        <v>1044</v>
      </c>
      <c r="H183" t="s">
        <v>41</v>
      </c>
      <c r="I183">
        <v>0</v>
      </c>
    </row>
    <row r="184" spans="1:21">
      <c r="A184" t="s">
        <v>906</v>
      </c>
      <c r="F184">
        <v>5855641</v>
      </c>
      <c r="G184" t="s">
        <v>1045</v>
      </c>
      <c r="H184" t="s">
        <v>37</v>
      </c>
    </row>
    <row r="185" spans="1:21">
      <c r="A185" t="s">
        <v>906</v>
      </c>
      <c r="F185">
        <v>8253854</v>
      </c>
      <c r="G185" t="s">
        <v>1046</v>
      </c>
      <c r="H185" t="s">
        <v>37</v>
      </c>
    </row>
    <row r="186" spans="1:21">
      <c r="A186" t="s">
        <v>906</v>
      </c>
      <c r="F186">
        <v>7120125</v>
      </c>
      <c r="G186" t="s">
        <v>1047</v>
      </c>
      <c r="H186" t="s">
        <v>51</v>
      </c>
      <c r="I186">
        <v>0</v>
      </c>
    </row>
    <row r="187" spans="1:21">
      <c r="A187" t="s">
        <v>906</v>
      </c>
      <c r="F187">
        <v>5887101</v>
      </c>
      <c r="G187" t="s">
        <v>1048</v>
      </c>
      <c r="H187" t="s">
        <v>37</v>
      </c>
    </row>
    <row r="188" spans="1:21">
      <c r="A188" t="s">
        <v>906</v>
      </c>
      <c r="F188">
        <v>6205038</v>
      </c>
      <c r="G188" t="s">
        <v>1049</v>
      </c>
      <c r="H188" t="s">
        <v>51</v>
      </c>
    </row>
    <row r="189" spans="1:21">
      <c r="A189" t="s">
        <v>906</v>
      </c>
      <c r="F189">
        <v>7786158</v>
      </c>
      <c r="G189" t="s">
        <v>1050</v>
      </c>
      <c r="H189" t="s">
        <v>51</v>
      </c>
    </row>
    <row r="191" spans="1:21">
      <c r="A191" t="s">
        <v>907</v>
      </c>
      <c r="F191">
        <v>5906661</v>
      </c>
      <c r="G191" t="s">
        <v>1051</v>
      </c>
      <c r="H191" t="s">
        <v>41</v>
      </c>
      <c r="J191">
        <v>2</v>
      </c>
      <c r="K191">
        <v>0</v>
      </c>
      <c r="L191">
        <v>0</v>
      </c>
      <c r="M191">
        <v>2</v>
      </c>
      <c r="N191">
        <v>1</v>
      </c>
      <c r="O191">
        <v>5</v>
      </c>
      <c r="P191">
        <v>1</v>
      </c>
      <c r="Q191">
        <v>4</v>
      </c>
      <c r="R191">
        <v>1</v>
      </c>
      <c r="S191">
        <v>1</v>
      </c>
      <c r="T191">
        <v>2</v>
      </c>
      <c r="U191">
        <v>1</v>
      </c>
    </row>
    <row r="192" spans="1:21">
      <c r="A192" t="s">
        <v>907</v>
      </c>
      <c r="F192">
        <v>6248268</v>
      </c>
      <c r="G192" t="s">
        <v>1052</v>
      </c>
      <c r="H192" t="s">
        <v>41</v>
      </c>
      <c r="I192">
        <v>0</v>
      </c>
    </row>
    <row r="193" spans="1:21">
      <c r="A193" t="s">
        <v>907</v>
      </c>
      <c r="F193">
        <v>7786573</v>
      </c>
      <c r="G193" t="s">
        <v>485</v>
      </c>
      <c r="H193" t="s">
        <v>51</v>
      </c>
      <c r="I193">
        <v>1</v>
      </c>
    </row>
    <row r="194" spans="1:21">
      <c r="A194" t="s">
        <v>907</v>
      </c>
      <c r="F194" t="s">
        <v>1053</v>
      </c>
      <c r="G194" t="s">
        <v>1054</v>
      </c>
      <c r="H194" t="s">
        <v>51</v>
      </c>
      <c r="I194">
        <v>0</v>
      </c>
    </row>
    <row r="195" spans="1:21">
      <c r="A195" t="s">
        <v>907</v>
      </c>
      <c r="F195">
        <v>6263143</v>
      </c>
      <c r="G195" t="s">
        <v>1055</v>
      </c>
      <c r="H195" t="s">
        <v>869</v>
      </c>
    </row>
    <row r="197" spans="1:21">
      <c r="A197" t="s">
        <v>908</v>
      </c>
      <c r="F197">
        <v>7366370</v>
      </c>
      <c r="G197" t="s">
        <v>493</v>
      </c>
      <c r="H197" t="s">
        <v>51</v>
      </c>
      <c r="I197">
        <v>1</v>
      </c>
      <c r="J197">
        <v>3</v>
      </c>
      <c r="K197">
        <v>0</v>
      </c>
      <c r="L197">
        <v>1</v>
      </c>
      <c r="M197">
        <v>0</v>
      </c>
      <c r="N197">
        <v>1</v>
      </c>
      <c r="O197">
        <v>5</v>
      </c>
      <c r="P197">
        <v>1</v>
      </c>
      <c r="Q197">
        <v>4</v>
      </c>
      <c r="R197">
        <v>1</v>
      </c>
      <c r="S197">
        <v>1</v>
      </c>
      <c r="T197">
        <v>2</v>
      </c>
      <c r="U197">
        <v>1</v>
      </c>
    </row>
    <row r="198" spans="1:21">
      <c r="A198" t="s">
        <v>908</v>
      </c>
      <c r="F198">
        <v>8547823</v>
      </c>
      <c r="G198" t="s">
        <v>1056</v>
      </c>
      <c r="H198" t="s">
        <v>51</v>
      </c>
      <c r="I198">
        <v>0</v>
      </c>
    </row>
    <row r="199" spans="1:21">
      <c r="A199" t="s">
        <v>908</v>
      </c>
      <c r="F199">
        <v>5783241</v>
      </c>
      <c r="G199" t="s">
        <v>1057</v>
      </c>
      <c r="H199" t="s">
        <v>37</v>
      </c>
    </row>
    <row r="200" spans="1:21">
      <c r="A200" t="s">
        <v>908</v>
      </c>
      <c r="F200">
        <v>5904188</v>
      </c>
      <c r="G200" t="s">
        <v>1058</v>
      </c>
      <c r="H200" t="s">
        <v>869</v>
      </c>
    </row>
    <row r="201" spans="1:21">
      <c r="A201" t="s">
        <v>908</v>
      </c>
      <c r="F201">
        <v>7904703</v>
      </c>
      <c r="G201" t="s">
        <v>1059</v>
      </c>
      <c r="H201" t="s">
        <v>51</v>
      </c>
    </row>
    <row r="203" spans="1:21">
      <c r="A203" t="s">
        <v>910</v>
      </c>
      <c r="B203" t="s">
        <v>502</v>
      </c>
      <c r="C203" t="s">
        <v>502</v>
      </c>
      <c r="D203" t="s">
        <v>502</v>
      </c>
      <c r="E203" t="s">
        <v>867</v>
      </c>
      <c r="F203">
        <v>7786565</v>
      </c>
      <c r="G203" t="s">
        <v>503</v>
      </c>
      <c r="H203" t="s">
        <v>51</v>
      </c>
      <c r="I203">
        <v>1</v>
      </c>
      <c r="J203">
        <v>2</v>
      </c>
      <c r="K203">
        <v>0</v>
      </c>
      <c r="L203">
        <v>0</v>
      </c>
      <c r="M203">
        <v>4</v>
      </c>
      <c r="N203">
        <v>0</v>
      </c>
      <c r="O203">
        <v>6</v>
      </c>
      <c r="P203">
        <v>0</v>
      </c>
      <c r="Q203">
        <v>6</v>
      </c>
      <c r="R203">
        <v>2</v>
      </c>
      <c r="S203">
        <v>1</v>
      </c>
      <c r="T203">
        <v>3</v>
      </c>
      <c r="U203">
        <v>2</v>
      </c>
    </row>
    <row r="204" spans="1:21">
      <c r="A204" t="s">
        <v>910</v>
      </c>
      <c r="F204">
        <v>5660548</v>
      </c>
      <c r="G204" t="s">
        <v>1060</v>
      </c>
      <c r="H204" t="s">
        <v>41</v>
      </c>
      <c r="I204">
        <v>0</v>
      </c>
    </row>
    <row r="205" spans="1:21">
      <c r="A205" t="s">
        <v>910</v>
      </c>
      <c r="F205">
        <v>5804221</v>
      </c>
      <c r="G205" t="s">
        <v>1061</v>
      </c>
      <c r="H205" t="s">
        <v>41</v>
      </c>
    </row>
    <row r="206" spans="1:21">
      <c r="A206" t="s">
        <v>910</v>
      </c>
      <c r="F206" t="s">
        <v>1062</v>
      </c>
      <c r="G206" t="s">
        <v>1063</v>
      </c>
      <c r="H206" t="s">
        <v>51</v>
      </c>
      <c r="I206">
        <v>0</v>
      </c>
    </row>
    <row r="207" spans="1:21">
      <c r="A207" t="s">
        <v>910</v>
      </c>
      <c r="F207">
        <v>6507158</v>
      </c>
      <c r="G207" t="s">
        <v>1064</v>
      </c>
      <c r="H207" t="s">
        <v>41</v>
      </c>
    </row>
    <row r="208" spans="1:21">
      <c r="A208" t="s">
        <v>910</v>
      </c>
      <c r="F208">
        <v>6308651</v>
      </c>
      <c r="G208" t="s">
        <v>1065</v>
      </c>
      <c r="H208" t="s">
        <v>41</v>
      </c>
    </row>
    <row r="210" spans="1:21">
      <c r="A210" t="s">
        <v>1066</v>
      </c>
      <c r="B210" t="s">
        <v>512</v>
      </c>
      <c r="C210" t="s">
        <v>512</v>
      </c>
      <c r="D210" t="s">
        <v>512</v>
      </c>
      <c r="E210" t="s">
        <v>959</v>
      </c>
      <c r="F210" t="s">
        <v>1067</v>
      </c>
      <c r="G210" t="s">
        <v>1068</v>
      </c>
      <c r="H210" t="s">
        <v>51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1</v>
      </c>
      <c r="R210">
        <v>1</v>
      </c>
      <c r="S210">
        <v>1</v>
      </c>
      <c r="T210">
        <v>2</v>
      </c>
      <c r="U210">
        <v>1</v>
      </c>
    </row>
    <row r="212" spans="1:21">
      <c r="A212" t="s">
        <v>912</v>
      </c>
      <c r="B212" t="s">
        <v>159</v>
      </c>
      <c r="C212" t="s">
        <v>1069</v>
      </c>
      <c r="D212" t="s">
        <v>953</v>
      </c>
      <c r="E212" t="s">
        <v>853</v>
      </c>
      <c r="F212">
        <v>7397020</v>
      </c>
      <c r="G212" t="s">
        <v>520</v>
      </c>
      <c r="H212" t="s">
        <v>51</v>
      </c>
      <c r="I212">
        <v>1</v>
      </c>
      <c r="J212">
        <v>3</v>
      </c>
      <c r="K212">
        <v>0</v>
      </c>
      <c r="L212">
        <v>2</v>
      </c>
      <c r="M212">
        <v>1</v>
      </c>
      <c r="N212">
        <v>1</v>
      </c>
      <c r="O212">
        <v>7</v>
      </c>
      <c r="P212">
        <v>1</v>
      </c>
      <c r="Q212">
        <v>6</v>
      </c>
      <c r="R212">
        <v>1</v>
      </c>
      <c r="S212">
        <v>0</v>
      </c>
      <c r="T212">
        <v>1</v>
      </c>
      <c r="U212">
        <v>1</v>
      </c>
    </row>
    <row r="213" spans="1:21">
      <c r="A213" t="s">
        <v>912</v>
      </c>
      <c r="F213">
        <v>5217121</v>
      </c>
      <c r="G213" t="s">
        <v>1070</v>
      </c>
      <c r="H213" t="s">
        <v>37</v>
      </c>
    </row>
    <row r="214" spans="1:21">
      <c r="A214" t="s">
        <v>912</v>
      </c>
      <c r="F214">
        <v>7786476</v>
      </c>
      <c r="G214" t="s">
        <v>1071</v>
      </c>
      <c r="H214" t="s">
        <v>51</v>
      </c>
      <c r="I214">
        <v>0</v>
      </c>
    </row>
    <row r="215" spans="1:21">
      <c r="A215" t="s">
        <v>912</v>
      </c>
      <c r="F215">
        <v>6268480</v>
      </c>
      <c r="G215" t="s">
        <v>1072</v>
      </c>
      <c r="H215" t="s">
        <v>41</v>
      </c>
    </row>
    <row r="216" spans="1:21">
      <c r="A216" t="s">
        <v>912</v>
      </c>
      <c r="F216">
        <v>5414563</v>
      </c>
      <c r="G216" t="s">
        <v>1073</v>
      </c>
      <c r="H216" t="s">
        <v>37</v>
      </c>
    </row>
    <row r="217" spans="1:21">
      <c r="A217" t="s">
        <v>912</v>
      </c>
      <c r="F217" t="s">
        <v>1074</v>
      </c>
      <c r="G217" t="s">
        <v>1075</v>
      </c>
      <c r="H217" t="s">
        <v>51</v>
      </c>
      <c r="I217">
        <v>0</v>
      </c>
    </row>
    <row r="218" spans="1:21">
      <c r="A218" t="s">
        <v>912</v>
      </c>
      <c r="F218">
        <v>5809509</v>
      </c>
      <c r="G218" t="s">
        <v>1076</v>
      </c>
      <c r="H218" t="s">
        <v>869</v>
      </c>
    </row>
    <row r="220" spans="1:21">
      <c r="A220" t="s">
        <v>1077</v>
      </c>
      <c r="F220">
        <v>7075740</v>
      </c>
      <c r="G220" t="s">
        <v>1078</v>
      </c>
      <c r="H220" t="s">
        <v>41</v>
      </c>
      <c r="I220">
        <v>0</v>
      </c>
      <c r="J220">
        <v>0</v>
      </c>
      <c r="K220">
        <v>0</v>
      </c>
      <c r="L220">
        <v>0</v>
      </c>
      <c r="M220">
        <v>2</v>
      </c>
      <c r="N220">
        <v>0</v>
      </c>
      <c r="O220">
        <v>2</v>
      </c>
      <c r="P220">
        <v>0</v>
      </c>
      <c r="Q220">
        <v>2</v>
      </c>
      <c r="R220">
        <v>2</v>
      </c>
      <c r="S220">
        <v>0</v>
      </c>
      <c r="T220">
        <v>0</v>
      </c>
      <c r="U220">
        <v>2</v>
      </c>
    </row>
    <row r="221" spans="1:21">
      <c r="A221" t="s">
        <v>1077</v>
      </c>
      <c r="F221">
        <v>6162380</v>
      </c>
      <c r="G221" t="s">
        <v>1079</v>
      </c>
      <c r="H221" t="s">
        <v>41</v>
      </c>
      <c r="I221">
        <v>0</v>
      </c>
    </row>
    <row r="223" spans="1:21">
      <c r="A223" t="s">
        <v>914</v>
      </c>
      <c r="B223" t="s">
        <v>1080</v>
      </c>
      <c r="C223" t="s">
        <v>1081</v>
      </c>
      <c r="D223" t="s">
        <v>1081</v>
      </c>
      <c r="E223" t="s">
        <v>867</v>
      </c>
      <c r="F223">
        <v>6262163</v>
      </c>
      <c r="G223" t="s">
        <v>1082</v>
      </c>
      <c r="H223" t="s">
        <v>41</v>
      </c>
      <c r="I223">
        <v>0</v>
      </c>
      <c r="J223">
        <v>2</v>
      </c>
      <c r="K223">
        <v>0</v>
      </c>
      <c r="L223">
        <v>0</v>
      </c>
      <c r="M223">
        <v>1</v>
      </c>
      <c r="N223">
        <v>0</v>
      </c>
      <c r="O223">
        <v>3</v>
      </c>
      <c r="P223">
        <v>0</v>
      </c>
      <c r="Q223">
        <v>3</v>
      </c>
      <c r="R223">
        <v>1</v>
      </c>
      <c r="S223">
        <v>1</v>
      </c>
      <c r="T223">
        <v>2</v>
      </c>
      <c r="U223">
        <v>1</v>
      </c>
    </row>
    <row r="224" spans="1:21">
      <c r="A224" t="s">
        <v>914</v>
      </c>
      <c r="F224">
        <v>8569835</v>
      </c>
      <c r="G224" t="s">
        <v>1083</v>
      </c>
      <c r="H224" t="s">
        <v>51</v>
      </c>
      <c r="I224">
        <v>0</v>
      </c>
    </row>
    <row r="225" spans="1:21">
      <c r="A225" t="s">
        <v>914</v>
      </c>
      <c r="F225">
        <v>7843208</v>
      </c>
      <c r="G225" t="s">
        <v>536</v>
      </c>
      <c r="H225" t="s">
        <v>51</v>
      </c>
      <c r="I225">
        <v>1</v>
      </c>
    </row>
    <row r="227" spans="1:21">
      <c r="A227" t="s">
        <v>915</v>
      </c>
      <c r="F227">
        <v>5290864</v>
      </c>
      <c r="G227" t="s">
        <v>1084</v>
      </c>
      <c r="H227" t="s">
        <v>37</v>
      </c>
      <c r="J227">
        <v>1</v>
      </c>
      <c r="K227">
        <v>0</v>
      </c>
      <c r="L227">
        <v>3</v>
      </c>
      <c r="M227">
        <v>2</v>
      </c>
      <c r="N227">
        <v>0</v>
      </c>
      <c r="O227">
        <v>6</v>
      </c>
      <c r="P227">
        <v>0</v>
      </c>
      <c r="Q227">
        <v>6</v>
      </c>
      <c r="R227">
        <v>3</v>
      </c>
      <c r="S227">
        <v>4</v>
      </c>
      <c r="T227">
        <v>5</v>
      </c>
      <c r="U227">
        <v>2</v>
      </c>
    </row>
    <row r="228" spans="1:21">
      <c r="A228" t="s">
        <v>915</v>
      </c>
      <c r="F228">
        <v>5632137</v>
      </c>
      <c r="G228" t="s">
        <v>1085</v>
      </c>
      <c r="H228" t="s">
        <v>37</v>
      </c>
    </row>
    <row r="229" spans="1:21">
      <c r="A229" t="s">
        <v>915</v>
      </c>
      <c r="F229">
        <v>7786247</v>
      </c>
      <c r="G229" t="s">
        <v>544</v>
      </c>
      <c r="H229" t="s">
        <v>51</v>
      </c>
      <c r="I229">
        <v>1</v>
      </c>
    </row>
    <row r="230" spans="1:21">
      <c r="A230" t="s">
        <v>915</v>
      </c>
      <c r="F230">
        <v>6306209</v>
      </c>
      <c r="G230" t="s">
        <v>1086</v>
      </c>
      <c r="H230" t="s">
        <v>41</v>
      </c>
    </row>
    <row r="231" spans="1:21">
      <c r="A231" t="s">
        <v>915</v>
      </c>
      <c r="F231">
        <v>6461115</v>
      </c>
      <c r="G231" t="s">
        <v>1087</v>
      </c>
      <c r="H231" t="s">
        <v>37</v>
      </c>
    </row>
    <row r="232" spans="1:21">
      <c r="A232" t="s">
        <v>915</v>
      </c>
      <c r="F232">
        <v>6558682</v>
      </c>
      <c r="G232" t="s">
        <v>1088</v>
      </c>
      <c r="H232" t="s">
        <v>41</v>
      </c>
    </row>
    <row r="234" spans="1:21">
      <c r="A234" t="s">
        <v>917</v>
      </c>
      <c r="B234" t="s">
        <v>159</v>
      </c>
      <c r="C234" t="s">
        <v>953</v>
      </c>
      <c r="D234" t="s">
        <v>953</v>
      </c>
      <c r="E234" t="s">
        <v>853</v>
      </c>
      <c r="F234">
        <v>7786492</v>
      </c>
      <c r="G234" t="s">
        <v>240</v>
      </c>
      <c r="H234" t="s">
        <v>51</v>
      </c>
      <c r="I234">
        <v>1</v>
      </c>
      <c r="J234">
        <v>1</v>
      </c>
      <c r="K234">
        <v>0</v>
      </c>
      <c r="L234">
        <v>0</v>
      </c>
      <c r="M234">
        <v>1</v>
      </c>
      <c r="N234">
        <v>1</v>
      </c>
      <c r="O234">
        <v>3</v>
      </c>
      <c r="P234">
        <v>1</v>
      </c>
      <c r="Q234">
        <v>2</v>
      </c>
      <c r="R234">
        <v>2</v>
      </c>
      <c r="S234">
        <v>1</v>
      </c>
      <c r="T234">
        <v>2</v>
      </c>
      <c r="U234">
        <v>1</v>
      </c>
    </row>
    <row r="235" spans="1:21">
      <c r="A235" t="s">
        <v>917</v>
      </c>
      <c r="F235">
        <v>5736650</v>
      </c>
      <c r="G235" t="s">
        <v>1089</v>
      </c>
      <c r="H235" t="s">
        <v>41</v>
      </c>
    </row>
    <row r="236" spans="1:21">
      <c r="A236" t="s">
        <v>917</v>
      </c>
      <c r="F236">
        <v>6073794</v>
      </c>
      <c r="G236" t="s">
        <v>1090</v>
      </c>
      <c r="H236" t="s">
        <v>869</v>
      </c>
    </row>
    <row r="238" spans="1:21">
      <c r="A238" t="s">
        <v>918</v>
      </c>
      <c r="F238">
        <v>7786174</v>
      </c>
      <c r="G238" t="s">
        <v>554</v>
      </c>
      <c r="H238" t="s">
        <v>51</v>
      </c>
      <c r="I238">
        <v>1</v>
      </c>
      <c r="J238">
        <v>1</v>
      </c>
      <c r="K238">
        <v>0</v>
      </c>
      <c r="L238">
        <v>1</v>
      </c>
      <c r="M238">
        <v>4</v>
      </c>
      <c r="N238">
        <v>1</v>
      </c>
      <c r="O238">
        <v>7</v>
      </c>
      <c r="P238">
        <v>1</v>
      </c>
      <c r="Q238">
        <v>6</v>
      </c>
      <c r="R238">
        <v>2</v>
      </c>
      <c r="S238">
        <v>0</v>
      </c>
      <c r="T238">
        <v>1</v>
      </c>
      <c r="U238">
        <v>1</v>
      </c>
    </row>
    <row r="239" spans="1:21">
      <c r="A239" t="s">
        <v>918</v>
      </c>
      <c r="F239">
        <v>5852170</v>
      </c>
      <c r="G239" t="s">
        <v>1091</v>
      </c>
      <c r="H239" t="s">
        <v>41</v>
      </c>
    </row>
    <row r="240" spans="1:21">
      <c r="A240" t="s">
        <v>918</v>
      </c>
      <c r="F240">
        <v>5894981</v>
      </c>
      <c r="G240" t="s">
        <v>1092</v>
      </c>
      <c r="H240" t="s">
        <v>37</v>
      </c>
    </row>
    <row r="241" spans="1:21">
      <c r="A241" t="s">
        <v>918</v>
      </c>
      <c r="F241">
        <v>6031382</v>
      </c>
      <c r="G241" t="s">
        <v>1093</v>
      </c>
      <c r="H241" t="s">
        <v>41</v>
      </c>
      <c r="I241">
        <v>0</v>
      </c>
    </row>
    <row r="242" spans="1:21">
      <c r="A242" t="s">
        <v>918</v>
      </c>
      <c r="F242">
        <v>5946361</v>
      </c>
      <c r="G242" t="s">
        <v>1094</v>
      </c>
      <c r="H242" t="s">
        <v>869</v>
      </c>
    </row>
    <row r="243" spans="1:21">
      <c r="A243" t="s">
        <v>918</v>
      </c>
      <c r="F243">
        <v>6271588</v>
      </c>
      <c r="G243" t="s">
        <v>1095</v>
      </c>
      <c r="H243" t="s">
        <v>41</v>
      </c>
    </row>
    <row r="244" spans="1:21">
      <c r="A244" t="s">
        <v>918</v>
      </c>
      <c r="F244">
        <v>6303056</v>
      </c>
      <c r="G244" t="s">
        <v>1096</v>
      </c>
      <c r="H244" t="s">
        <v>41</v>
      </c>
    </row>
    <row r="246" spans="1:21">
      <c r="A246" t="s">
        <v>920</v>
      </c>
      <c r="F246" t="s">
        <v>1097</v>
      </c>
      <c r="G246" t="s">
        <v>1098</v>
      </c>
      <c r="H246" t="s">
        <v>37</v>
      </c>
      <c r="J246">
        <v>1</v>
      </c>
      <c r="K246">
        <v>0</v>
      </c>
      <c r="L246">
        <v>2</v>
      </c>
      <c r="M246">
        <v>0</v>
      </c>
      <c r="N246">
        <v>0</v>
      </c>
      <c r="O246">
        <v>3</v>
      </c>
      <c r="P246">
        <v>0</v>
      </c>
      <c r="Q246">
        <v>3</v>
      </c>
      <c r="R246">
        <v>1</v>
      </c>
      <c r="S246">
        <v>1</v>
      </c>
      <c r="T246">
        <v>2</v>
      </c>
      <c r="U246">
        <v>1</v>
      </c>
    </row>
    <row r="247" spans="1:21">
      <c r="A247" t="s">
        <v>920</v>
      </c>
      <c r="F247">
        <v>5914701</v>
      </c>
      <c r="G247" t="s">
        <v>1099</v>
      </c>
      <c r="H247" t="s">
        <v>37</v>
      </c>
      <c r="I247">
        <v>0</v>
      </c>
    </row>
    <row r="248" spans="1:21">
      <c r="A248" t="s">
        <v>920</v>
      </c>
      <c r="F248">
        <v>7769725</v>
      </c>
      <c r="G248" t="s">
        <v>564</v>
      </c>
      <c r="H248" t="s">
        <v>51</v>
      </c>
      <c r="I248">
        <v>1</v>
      </c>
    </row>
    <row r="250" spans="1:21">
      <c r="A250" t="s">
        <v>921</v>
      </c>
      <c r="F250">
        <v>5906041</v>
      </c>
      <c r="G250" t="s">
        <v>1100</v>
      </c>
      <c r="H250" t="s">
        <v>869</v>
      </c>
      <c r="J250">
        <v>2</v>
      </c>
      <c r="K250">
        <v>0</v>
      </c>
      <c r="L250">
        <v>0</v>
      </c>
      <c r="M250">
        <v>1</v>
      </c>
      <c r="N250">
        <v>2</v>
      </c>
      <c r="O250">
        <v>5</v>
      </c>
      <c r="P250">
        <v>2</v>
      </c>
      <c r="Q250">
        <v>3</v>
      </c>
      <c r="R250">
        <v>1</v>
      </c>
      <c r="S250">
        <v>1</v>
      </c>
      <c r="T250">
        <v>2</v>
      </c>
      <c r="U250">
        <v>1</v>
      </c>
    </row>
    <row r="251" spans="1:21">
      <c r="A251" t="s">
        <v>921</v>
      </c>
      <c r="F251">
        <v>6257259</v>
      </c>
      <c r="G251" t="s">
        <v>1101</v>
      </c>
      <c r="H251" t="s">
        <v>41</v>
      </c>
    </row>
    <row r="252" spans="1:21">
      <c r="A252" t="s">
        <v>921</v>
      </c>
      <c r="F252">
        <v>6505945</v>
      </c>
      <c r="G252" t="s">
        <v>1102</v>
      </c>
      <c r="H252" t="s">
        <v>869</v>
      </c>
    </row>
    <row r="253" spans="1:21">
      <c r="A253" t="s">
        <v>921</v>
      </c>
      <c r="F253">
        <v>7793979</v>
      </c>
      <c r="G253" t="s">
        <v>1103</v>
      </c>
      <c r="H253" t="s">
        <v>51</v>
      </c>
      <c r="I253">
        <v>0</v>
      </c>
    </row>
    <row r="254" spans="1:21">
      <c r="A254" t="s">
        <v>921</v>
      </c>
      <c r="F254">
        <v>8504458</v>
      </c>
      <c r="G254" t="s">
        <v>573</v>
      </c>
      <c r="H254" t="s">
        <v>51</v>
      </c>
      <c r="I254">
        <v>1</v>
      </c>
    </row>
    <row r="256" spans="1:21">
      <c r="A256" t="s">
        <v>923</v>
      </c>
      <c r="B256" t="s">
        <v>219</v>
      </c>
      <c r="C256" t="s">
        <v>219</v>
      </c>
      <c r="D256" t="s">
        <v>219</v>
      </c>
      <c r="E256" t="s">
        <v>959</v>
      </c>
      <c r="F256">
        <v>5545072</v>
      </c>
      <c r="G256" t="s">
        <v>1104</v>
      </c>
      <c r="H256" t="s">
        <v>88</v>
      </c>
      <c r="J256">
        <v>2</v>
      </c>
      <c r="K256">
        <v>1</v>
      </c>
      <c r="L256">
        <v>1</v>
      </c>
      <c r="M256">
        <v>1</v>
      </c>
      <c r="N256">
        <v>0</v>
      </c>
      <c r="O256">
        <v>5</v>
      </c>
      <c r="P256">
        <v>0</v>
      </c>
      <c r="Q256">
        <v>5</v>
      </c>
      <c r="R256">
        <v>2</v>
      </c>
      <c r="S256">
        <v>1</v>
      </c>
      <c r="T256">
        <v>3</v>
      </c>
      <c r="U256">
        <v>2</v>
      </c>
    </row>
    <row r="257" spans="1:21">
      <c r="A257" t="s">
        <v>923</v>
      </c>
      <c r="F257">
        <v>5453534</v>
      </c>
      <c r="G257" t="s">
        <v>1105</v>
      </c>
      <c r="H257" t="s">
        <v>37</v>
      </c>
      <c r="I257">
        <v>0</v>
      </c>
    </row>
    <row r="258" spans="1:21">
      <c r="A258" t="s">
        <v>923</v>
      </c>
      <c r="F258">
        <v>5806771</v>
      </c>
      <c r="G258" t="s">
        <v>1106</v>
      </c>
      <c r="H258" t="s">
        <v>41</v>
      </c>
      <c r="I258">
        <v>0</v>
      </c>
    </row>
    <row r="259" spans="1:21">
      <c r="A259" t="s">
        <v>923</v>
      </c>
      <c r="F259">
        <v>8552061</v>
      </c>
      <c r="G259" t="s">
        <v>1107</v>
      </c>
      <c r="H259" t="s">
        <v>51</v>
      </c>
    </row>
    <row r="260" spans="1:21">
      <c r="A260" t="s">
        <v>923</v>
      </c>
      <c r="F260">
        <v>7793855</v>
      </c>
      <c r="G260" t="s">
        <v>582</v>
      </c>
      <c r="H260" t="s">
        <v>51</v>
      </c>
      <c r="I260">
        <v>1</v>
      </c>
    </row>
    <row r="262" spans="1:21">
      <c r="A262" t="s">
        <v>925</v>
      </c>
      <c r="B262" t="s">
        <v>1108</v>
      </c>
      <c r="C262" t="s">
        <v>1108</v>
      </c>
      <c r="D262" t="s">
        <v>1108</v>
      </c>
      <c r="E262" t="s">
        <v>853</v>
      </c>
      <c r="F262">
        <v>6204813</v>
      </c>
      <c r="G262" t="s">
        <v>592</v>
      </c>
      <c r="H262" t="s">
        <v>51</v>
      </c>
      <c r="I262">
        <v>1</v>
      </c>
      <c r="J262">
        <v>1</v>
      </c>
      <c r="K262">
        <v>0</v>
      </c>
      <c r="L262">
        <v>0</v>
      </c>
      <c r="M262">
        <v>2</v>
      </c>
      <c r="N262">
        <v>1</v>
      </c>
      <c r="O262">
        <v>4</v>
      </c>
      <c r="P262">
        <v>1</v>
      </c>
      <c r="Q262">
        <v>3</v>
      </c>
      <c r="R262">
        <v>2</v>
      </c>
      <c r="S262">
        <v>1</v>
      </c>
      <c r="T262">
        <v>1</v>
      </c>
      <c r="U262">
        <v>1</v>
      </c>
    </row>
    <row r="263" spans="1:21">
      <c r="A263" t="s">
        <v>925</v>
      </c>
      <c r="F263">
        <v>5173922</v>
      </c>
      <c r="G263" t="s">
        <v>1109</v>
      </c>
      <c r="H263" t="s">
        <v>869</v>
      </c>
    </row>
    <row r="264" spans="1:21">
      <c r="A264" t="s">
        <v>925</v>
      </c>
      <c r="F264">
        <v>5912504</v>
      </c>
      <c r="G264" t="s">
        <v>1110</v>
      </c>
      <c r="H264" t="s">
        <v>41</v>
      </c>
    </row>
    <row r="265" spans="1:21">
      <c r="A265" t="s">
        <v>925</v>
      </c>
      <c r="F265">
        <v>7409729</v>
      </c>
      <c r="G265" t="s">
        <v>1111</v>
      </c>
      <c r="H265" t="s">
        <v>41</v>
      </c>
    </row>
    <row r="267" spans="1:21">
      <c r="A267" t="s">
        <v>927</v>
      </c>
      <c r="B267" t="s">
        <v>601</v>
      </c>
      <c r="C267" t="s">
        <v>601</v>
      </c>
      <c r="D267" t="s">
        <v>601</v>
      </c>
      <c r="E267" t="s">
        <v>853</v>
      </c>
      <c r="F267">
        <v>6267319</v>
      </c>
      <c r="G267" t="s">
        <v>1112</v>
      </c>
      <c r="H267" t="s">
        <v>41</v>
      </c>
      <c r="J267">
        <v>1</v>
      </c>
      <c r="K267">
        <v>0</v>
      </c>
      <c r="L267">
        <v>1</v>
      </c>
      <c r="M267">
        <v>2</v>
      </c>
      <c r="N267">
        <v>0</v>
      </c>
      <c r="O267">
        <v>4</v>
      </c>
      <c r="P267">
        <v>0</v>
      </c>
      <c r="Q267">
        <v>4</v>
      </c>
      <c r="R267">
        <v>1</v>
      </c>
      <c r="S267">
        <v>0</v>
      </c>
      <c r="T267">
        <v>2</v>
      </c>
      <c r="U267">
        <v>2</v>
      </c>
    </row>
    <row r="268" spans="1:21">
      <c r="A268" t="s">
        <v>927</v>
      </c>
      <c r="F268">
        <v>7107706</v>
      </c>
      <c r="G268" t="s">
        <v>602</v>
      </c>
      <c r="H268" t="s">
        <v>51</v>
      </c>
      <c r="I268">
        <v>1</v>
      </c>
    </row>
    <row r="269" spans="1:21">
      <c r="A269" t="s">
        <v>927</v>
      </c>
      <c r="F269">
        <v>5964032</v>
      </c>
      <c r="G269" t="s">
        <v>1113</v>
      </c>
      <c r="H269" t="s">
        <v>37</v>
      </c>
    </row>
    <row r="270" spans="1:21">
      <c r="A270" t="s">
        <v>927</v>
      </c>
      <c r="F270">
        <v>6445977</v>
      </c>
      <c r="G270" t="s">
        <v>1114</v>
      </c>
      <c r="H270" t="s">
        <v>41</v>
      </c>
    </row>
    <row r="272" spans="1:21">
      <c r="A272" t="s">
        <v>929</v>
      </c>
      <c r="B272" t="s">
        <v>1080</v>
      </c>
      <c r="C272" t="s">
        <v>1115</v>
      </c>
      <c r="D272" t="s">
        <v>1115</v>
      </c>
      <c r="E272" t="s">
        <v>867</v>
      </c>
      <c r="F272">
        <v>7795068</v>
      </c>
      <c r="G272" t="s">
        <v>611</v>
      </c>
      <c r="H272" t="s">
        <v>51</v>
      </c>
      <c r="I272">
        <v>1</v>
      </c>
      <c r="J272">
        <v>2</v>
      </c>
      <c r="K272">
        <v>0</v>
      </c>
      <c r="L272">
        <v>0</v>
      </c>
      <c r="M272">
        <v>2</v>
      </c>
      <c r="N272">
        <v>0</v>
      </c>
      <c r="O272">
        <v>4</v>
      </c>
      <c r="P272">
        <v>0</v>
      </c>
      <c r="Q272">
        <v>4</v>
      </c>
      <c r="R272">
        <v>2</v>
      </c>
      <c r="S272">
        <v>1</v>
      </c>
      <c r="T272">
        <v>2</v>
      </c>
      <c r="U272">
        <v>1</v>
      </c>
    </row>
    <row r="273" spans="1:21">
      <c r="A273" t="s">
        <v>929</v>
      </c>
      <c r="F273">
        <v>6429122</v>
      </c>
      <c r="G273" t="s">
        <v>1116</v>
      </c>
      <c r="H273" t="s">
        <v>41</v>
      </c>
      <c r="I273">
        <v>0</v>
      </c>
    </row>
    <row r="274" spans="1:21">
      <c r="A274" t="s">
        <v>929</v>
      </c>
      <c r="F274">
        <v>6547524</v>
      </c>
      <c r="G274" t="s">
        <v>1117</v>
      </c>
      <c r="H274" t="s">
        <v>41</v>
      </c>
    </row>
    <row r="275" spans="1:21">
      <c r="A275" t="s">
        <v>929</v>
      </c>
      <c r="F275">
        <v>8504407</v>
      </c>
      <c r="G275" t="s">
        <v>1118</v>
      </c>
      <c r="H275" t="s">
        <v>51</v>
      </c>
    </row>
    <row r="277" spans="1:21">
      <c r="A277" t="s">
        <v>930</v>
      </c>
      <c r="B277" t="s">
        <v>864</v>
      </c>
      <c r="C277" t="s">
        <v>865</v>
      </c>
      <c r="D277" t="s">
        <v>865</v>
      </c>
      <c r="E277" t="s">
        <v>867</v>
      </c>
      <c r="F277">
        <v>5296609</v>
      </c>
      <c r="G277" t="s">
        <v>1119</v>
      </c>
      <c r="H277" t="s">
        <v>37</v>
      </c>
      <c r="J277">
        <v>1</v>
      </c>
      <c r="K277">
        <v>0</v>
      </c>
      <c r="L277">
        <v>1</v>
      </c>
      <c r="M277">
        <v>2</v>
      </c>
      <c r="N277">
        <v>0</v>
      </c>
      <c r="O277">
        <v>4</v>
      </c>
      <c r="P277">
        <v>0</v>
      </c>
      <c r="Q277">
        <v>4</v>
      </c>
      <c r="R277">
        <v>2</v>
      </c>
      <c r="S277">
        <v>0</v>
      </c>
      <c r="T277">
        <v>2</v>
      </c>
      <c r="U277">
        <v>1</v>
      </c>
    </row>
    <row r="278" spans="1:21">
      <c r="A278" t="s">
        <v>930</v>
      </c>
      <c r="F278">
        <v>7808313</v>
      </c>
      <c r="G278" t="s">
        <v>620</v>
      </c>
      <c r="H278" t="s">
        <v>51</v>
      </c>
      <c r="I278">
        <v>1</v>
      </c>
    </row>
    <row r="279" spans="1:21">
      <c r="A279" t="s">
        <v>930</v>
      </c>
      <c r="F279">
        <v>5915899</v>
      </c>
      <c r="G279" t="s">
        <v>1120</v>
      </c>
      <c r="H279" t="s">
        <v>41</v>
      </c>
    </row>
    <row r="280" spans="1:21">
      <c r="A280" t="s">
        <v>930</v>
      </c>
      <c r="F280">
        <v>6303021</v>
      </c>
      <c r="G280" t="s">
        <v>1121</v>
      </c>
      <c r="H280" t="s">
        <v>41</v>
      </c>
    </row>
    <row r="282" spans="1:21">
      <c r="A282" t="s">
        <v>931</v>
      </c>
      <c r="B282" t="s">
        <v>601</v>
      </c>
      <c r="C282" t="s">
        <v>1122</v>
      </c>
      <c r="D282" t="s">
        <v>601</v>
      </c>
      <c r="E282" t="s">
        <v>853</v>
      </c>
      <c r="F282">
        <v>6262589</v>
      </c>
      <c r="G282" t="s">
        <v>1123</v>
      </c>
      <c r="H282" t="s">
        <v>41</v>
      </c>
      <c r="J282">
        <v>1</v>
      </c>
      <c r="K282">
        <v>0</v>
      </c>
      <c r="L282">
        <v>1</v>
      </c>
      <c r="M282">
        <v>3</v>
      </c>
      <c r="N282">
        <v>0</v>
      </c>
      <c r="O282">
        <v>5</v>
      </c>
      <c r="P282">
        <v>0</v>
      </c>
      <c r="Q282">
        <v>5</v>
      </c>
      <c r="R282">
        <v>2</v>
      </c>
      <c r="S282">
        <v>0</v>
      </c>
      <c r="T282">
        <v>0</v>
      </c>
      <c r="U282">
        <v>1</v>
      </c>
    </row>
    <row r="283" spans="1:21">
      <c r="A283" t="s">
        <v>931</v>
      </c>
      <c r="F283">
        <v>7289693</v>
      </c>
      <c r="G283" t="s">
        <v>1124</v>
      </c>
      <c r="H283" t="s">
        <v>37</v>
      </c>
      <c r="I283">
        <v>0</v>
      </c>
    </row>
    <row r="284" spans="1:21">
      <c r="A284" t="s">
        <v>931</v>
      </c>
      <c r="F284">
        <v>6421580</v>
      </c>
      <c r="G284" t="s">
        <v>1125</v>
      </c>
      <c r="H284" t="s">
        <v>41</v>
      </c>
    </row>
    <row r="285" spans="1:21">
      <c r="A285" t="s">
        <v>931</v>
      </c>
      <c r="F285">
        <v>5421748</v>
      </c>
      <c r="G285" t="s">
        <v>1126</v>
      </c>
      <c r="H285" t="s">
        <v>41</v>
      </c>
    </row>
    <row r="286" spans="1:21">
      <c r="A286" t="s">
        <v>931</v>
      </c>
      <c r="F286" t="s">
        <v>1127</v>
      </c>
      <c r="G286" t="s">
        <v>629</v>
      </c>
      <c r="H286" t="s">
        <v>51</v>
      </c>
      <c r="I286">
        <v>1</v>
      </c>
    </row>
    <row r="288" spans="1:21">
      <c r="A288" t="s">
        <v>935</v>
      </c>
      <c r="B288" t="s">
        <v>1128</v>
      </c>
      <c r="C288" t="s">
        <v>1129</v>
      </c>
      <c r="D288" t="s">
        <v>1129</v>
      </c>
      <c r="E288" t="s">
        <v>853</v>
      </c>
      <c r="F288">
        <v>7786743</v>
      </c>
      <c r="G288" t="s">
        <v>638</v>
      </c>
      <c r="H288" t="s">
        <v>51</v>
      </c>
      <c r="I288">
        <v>1</v>
      </c>
      <c r="J288">
        <v>1</v>
      </c>
      <c r="K288">
        <v>0</v>
      </c>
      <c r="L288">
        <v>0</v>
      </c>
      <c r="M288">
        <v>5</v>
      </c>
      <c r="N288">
        <v>0</v>
      </c>
      <c r="O288">
        <v>6</v>
      </c>
      <c r="P288">
        <v>0</v>
      </c>
      <c r="Q288">
        <v>6</v>
      </c>
      <c r="R288">
        <v>2</v>
      </c>
      <c r="S288">
        <v>0</v>
      </c>
      <c r="T288">
        <v>2</v>
      </c>
      <c r="U288">
        <v>1</v>
      </c>
    </row>
    <row r="289" spans="1:21">
      <c r="A289" t="s">
        <v>935</v>
      </c>
      <c r="F289">
        <v>7407363</v>
      </c>
      <c r="G289" t="s">
        <v>1130</v>
      </c>
      <c r="H289" t="s">
        <v>41</v>
      </c>
      <c r="I289">
        <v>0</v>
      </c>
    </row>
    <row r="290" spans="1:21">
      <c r="A290" t="s">
        <v>935</v>
      </c>
      <c r="F290">
        <v>6266614</v>
      </c>
      <c r="G290" t="s">
        <v>1131</v>
      </c>
      <c r="H290" t="s">
        <v>41</v>
      </c>
      <c r="I290">
        <v>0</v>
      </c>
    </row>
    <row r="291" spans="1:21">
      <c r="A291" t="s">
        <v>935</v>
      </c>
      <c r="F291">
        <v>5474001</v>
      </c>
      <c r="G291" t="s">
        <v>1132</v>
      </c>
      <c r="H291" t="s">
        <v>41</v>
      </c>
      <c r="I291">
        <v>0</v>
      </c>
    </row>
    <row r="292" spans="1:21">
      <c r="A292" t="s">
        <v>935</v>
      </c>
      <c r="F292">
        <v>5890063</v>
      </c>
      <c r="G292" t="s">
        <v>1133</v>
      </c>
      <c r="H292" t="s">
        <v>41</v>
      </c>
      <c r="I292">
        <v>0</v>
      </c>
    </row>
    <row r="293" spans="1:21">
      <c r="A293" t="s">
        <v>935</v>
      </c>
      <c r="F293">
        <v>6304451</v>
      </c>
      <c r="G293" t="s">
        <v>1134</v>
      </c>
      <c r="H293" t="s">
        <v>41</v>
      </c>
    </row>
    <row r="295" spans="1:21">
      <c r="A295" t="s">
        <v>937</v>
      </c>
      <c r="B295" t="s">
        <v>601</v>
      </c>
      <c r="C295" t="s">
        <v>1122</v>
      </c>
      <c r="D295" t="s">
        <v>601</v>
      </c>
      <c r="E295" t="s">
        <v>853</v>
      </c>
      <c r="F295">
        <v>7134762</v>
      </c>
      <c r="G295" t="s">
        <v>647</v>
      </c>
      <c r="H295" t="s">
        <v>51</v>
      </c>
      <c r="I295">
        <v>1</v>
      </c>
      <c r="J295">
        <v>1</v>
      </c>
      <c r="K295">
        <v>0</v>
      </c>
      <c r="L295">
        <v>1</v>
      </c>
      <c r="M295">
        <v>3</v>
      </c>
      <c r="N295">
        <v>1</v>
      </c>
      <c r="O295">
        <v>6</v>
      </c>
      <c r="P295">
        <v>1</v>
      </c>
      <c r="Q295">
        <v>5</v>
      </c>
      <c r="R295">
        <v>2</v>
      </c>
      <c r="S295">
        <v>1</v>
      </c>
      <c r="T295">
        <v>4</v>
      </c>
      <c r="U295">
        <v>1</v>
      </c>
    </row>
    <row r="296" spans="1:21">
      <c r="A296" t="s">
        <v>937</v>
      </c>
      <c r="F296">
        <v>5134927</v>
      </c>
      <c r="G296" t="s">
        <v>1135</v>
      </c>
      <c r="H296" t="s">
        <v>41</v>
      </c>
    </row>
    <row r="297" spans="1:21">
      <c r="A297" t="s">
        <v>937</v>
      </c>
      <c r="F297">
        <v>5918472</v>
      </c>
      <c r="G297" t="s">
        <v>1136</v>
      </c>
      <c r="H297" t="s">
        <v>37</v>
      </c>
    </row>
    <row r="298" spans="1:21">
      <c r="A298" t="s">
        <v>937</v>
      </c>
      <c r="F298">
        <v>5920281</v>
      </c>
      <c r="G298" t="s">
        <v>1137</v>
      </c>
      <c r="H298" t="s">
        <v>41</v>
      </c>
    </row>
    <row r="299" spans="1:21">
      <c r="A299" t="s">
        <v>937</v>
      </c>
      <c r="F299">
        <v>6270298</v>
      </c>
      <c r="G299" t="s">
        <v>1138</v>
      </c>
      <c r="H299" t="s">
        <v>41</v>
      </c>
    </row>
    <row r="300" spans="1:21">
      <c r="A300" t="s">
        <v>937</v>
      </c>
      <c r="F300">
        <v>5164851</v>
      </c>
      <c r="G300" t="s">
        <v>1139</v>
      </c>
      <c r="H300" t="s">
        <v>869</v>
      </c>
    </row>
    <row r="302" spans="1:21">
      <c r="A302" t="s">
        <v>939</v>
      </c>
      <c r="B302" t="s">
        <v>307</v>
      </c>
      <c r="C302" t="s">
        <v>307</v>
      </c>
      <c r="D302" t="s">
        <v>307</v>
      </c>
      <c r="E302" t="s">
        <v>959</v>
      </c>
      <c r="F302">
        <v>7808283</v>
      </c>
      <c r="G302" t="s">
        <v>657</v>
      </c>
      <c r="H302" t="s">
        <v>51</v>
      </c>
      <c r="I302">
        <v>1</v>
      </c>
      <c r="J302">
        <v>2</v>
      </c>
      <c r="K302">
        <v>1</v>
      </c>
      <c r="L302">
        <v>2</v>
      </c>
      <c r="M302">
        <v>1</v>
      </c>
      <c r="N302">
        <v>0</v>
      </c>
      <c r="O302">
        <v>6</v>
      </c>
      <c r="P302">
        <v>0</v>
      </c>
      <c r="Q302">
        <v>6</v>
      </c>
      <c r="R302">
        <v>1</v>
      </c>
      <c r="S302">
        <v>1</v>
      </c>
      <c r="T302">
        <v>2</v>
      </c>
      <c r="U302">
        <v>2</v>
      </c>
    </row>
    <row r="303" spans="1:21">
      <c r="A303" t="s">
        <v>939</v>
      </c>
      <c r="F303">
        <v>8504636</v>
      </c>
      <c r="G303" t="s">
        <v>1140</v>
      </c>
      <c r="H303" t="s">
        <v>51</v>
      </c>
      <c r="I303">
        <v>0</v>
      </c>
    </row>
    <row r="304" spans="1:21">
      <c r="A304" t="s">
        <v>939</v>
      </c>
      <c r="F304">
        <v>6263003</v>
      </c>
      <c r="G304" t="s">
        <v>1141</v>
      </c>
      <c r="H304" t="s">
        <v>41</v>
      </c>
    </row>
    <row r="305" spans="1:21">
      <c r="A305" t="s">
        <v>939</v>
      </c>
      <c r="F305">
        <v>6220442</v>
      </c>
      <c r="G305" t="s">
        <v>1142</v>
      </c>
      <c r="H305" t="s">
        <v>88</v>
      </c>
    </row>
    <row r="306" spans="1:21">
      <c r="A306" t="s">
        <v>939</v>
      </c>
      <c r="F306">
        <v>5905273</v>
      </c>
      <c r="G306" t="s">
        <v>1143</v>
      </c>
      <c r="H306" t="s">
        <v>37</v>
      </c>
    </row>
    <row r="307" spans="1:21">
      <c r="A307" t="s">
        <v>939</v>
      </c>
      <c r="F307">
        <v>7348932</v>
      </c>
      <c r="G307" t="s">
        <v>1144</v>
      </c>
      <c r="H307" t="s">
        <v>37</v>
      </c>
    </row>
    <row r="309" spans="1:21">
      <c r="A309" t="s">
        <v>125</v>
      </c>
      <c r="I309">
        <v>52</v>
      </c>
      <c r="J309">
        <v>88</v>
      </c>
      <c r="K309">
        <v>5</v>
      </c>
      <c r="L309">
        <v>44</v>
      </c>
      <c r="M309">
        <v>82</v>
      </c>
      <c r="N309">
        <v>32</v>
      </c>
      <c r="O309">
        <v>251</v>
      </c>
      <c r="P309">
        <v>32</v>
      </c>
      <c r="Q309">
        <v>219</v>
      </c>
      <c r="R309">
        <v>90</v>
      </c>
      <c r="S309">
        <v>39</v>
      </c>
      <c r="T309">
        <v>101</v>
      </c>
      <c r="U309">
        <v>69</v>
      </c>
    </row>
    <row r="311" spans="1:21">
      <c r="F311" s="163"/>
    </row>
    <row r="312" spans="1:21">
      <c r="I312" t="s">
        <v>1145</v>
      </c>
    </row>
    <row r="313" spans="1:21">
      <c r="I313" t="s">
        <v>1146</v>
      </c>
    </row>
    <row r="321" spans="4:4">
      <c r="D321" s="163"/>
    </row>
  </sheetData>
  <phoneticPr fontId="46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outlinePr summaryBelow="0" summaryRight="0"/>
  </sheetPr>
  <dimension ref="B1:P31"/>
  <sheetViews>
    <sheetView topLeftCell="B1" workbookViewId="0">
      <selection activeCell="K20" sqref="K20"/>
    </sheetView>
  </sheetViews>
  <sheetFormatPr defaultColWidth="0" defaultRowHeight="15.75" customHeight="1" zeroHeight="1"/>
  <cols>
    <col min="2" max="2" width="33.7109375" customWidth="1"/>
    <col min="3" max="3" width="8.5703125" customWidth="1"/>
    <col min="4" max="4" width="59.28515625" customWidth="1"/>
    <col min="5" max="5" width="21.85546875" customWidth="1"/>
    <col min="6" max="6" width="12.5703125" customWidth="1"/>
    <col min="7" max="8" width="15.140625" customWidth="1"/>
    <col min="9" max="9" width="8.85546875" customWidth="1"/>
    <col min="10" max="10" width="7.7109375" customWidth="1"/>
    <col min="11" max="11" width="31.85546875" customWidth="1"/>
    <col min="12" max="12" width="24.5703125" customWidth="1"/>
    <col min="13" max="13" width="12.85546875" hidden="1"/>
    <col min="14" max="14" width="10.42578125" hidden="1"/>
  </cols>
  <sheetData>
    <row r="1" spans="2:16" ht="78.75" customHeight="1">
      <c r="B1" s="210"/>
      <c r="C1" s="214"/>
      <c r="D1" s="215"/>
      <c r="E1" s="215"/>
      <c r="F1" s="373"/>
      <c r="G1" s="373"/>
      <c r="H1" s="216"/>
      <c r="I1" s="374"/>
      <c r="J1" s="375"/>
      <c r="K1" s="217"/>
      <c r="L1" s="218"/>
      <c r="M1" s="1"/>
      <c r="N1" s="2"/>
      <c r="O1" s="1"/>
      <c r="P1" s="1"/>
    </row>
    <row r="2" spans="2:16" ht="30">
      <c r="B2" s="189" t="s">
        <v>139</v>
      </c>
      <c r="C2" s="211" t="s">
        <v>1147</v>
      </c>
      <c r="D2" s="211" t="s">
        <v>141</v>
      </c>
      <c r="E2" s="212" t="s">
        <v>142</v>
      </c>
      <c r="F2" s="212" t="s">
        <v>143</v>
      </c>
      <c r="G2" s="212" t="s">
        <v>144</v>
      </c>
      <c r="H2" s="212" t="s">
        <v>145</v>
      </c>
      <c r="I2" s="212" t="s">
        <v>146</v>
      </c>
      <c r="J2" s="212" t="s">
        <v>147</v>
      </c>
      <c r="K2" s="213" t="s">
        <v>148</v>
      </c>
      <c r="L2" s="236" t="s">
        <v>149</v>
      </c>
      <c r="M2" s="3"/>
      <c r="N2" s="3"/>
    </row>
    <row r="3" spans="2:16" ht="14.25">
      <c r="B3" s="5"/>
      <c r="C3" s="8" t="s">
        <v>1148</v>
      </c>
      <c r="D3" s="5" t="s">
        <v>76</v>
      </c>
      <c r="E3" s="109" t="str">
        <f ca="1">IFERROR(__xludf.DUMMYFUNCTION("IMPORTRANGE(""1yxvnKk2gGDNIuz1R2GHLCP8UcRSEEAymvl41zLhKjMs"",""Geral!E34:I34"")"),"R. Catão, 611")</f>
        <v>R. Catão, 611</v>
      </c>
      <c r="F3" s="6" t="str">
        <f ca="1">IFERROR(__xludf.DUMMYFUNCTION("""COMPUTED_VALUE"""),"05049-000")</f>
        <v>05049-000</v>
      </c>
      <c r="G3" s="6" t="str">
        <f ca="1">IFERROR(__xludf.DUMMYFUNCTION("""COMPUTED_VALUE"""),"Vila Romana")</f>
        <v>Vila Romana</v>
      </c>
      <c r="H3" s="6" t="str">
        <f ca="1">IFERROR(__xludf.DUMMYFUNCTION("""COMPUTED_VALUE"""),"LAPA")</f>
        <v>LAPA</v>
      </c>
      <c r="I3" s="8" t="str">
        <f ca="1">IFERROR(__xludf.DUMMYFUNCTION("""COMPUTED_VALUE"""),"Z/O")</f>
        <v>Z/O</v>
      </c>
      <c r="J3" s="8">
        <v>1</v>
      </c>
      <c r="K3" s="225" t="s">
        <v>77</v>
      </c>
      <c r="L3" s="199"/>
      <c r="M3" s="28"/>
      <c r="N3" s="28"/>
    </row>
    <row r="4" spans="2:16" ht="14.25">
      <c r="B4" s="5" t="s">
        <v>1149</v>
      </c>
      <c r="C4" s="8">
        <v>1</v>
      </c>
      <c r="D4" s="5" t="str">
        <f ca="1">IFERROR(__xludf.DUMMYFUNCTION("IMPORTRANGE(""1UwBEczQmPcrI9wtIZdda9LccAr_zrr8rITmOrURuNmA"",""Estrutura!A49"")"),"SCT - Setor de Expedição")</f>
        <v>SCT - Setor de Expedição</v>
      </c>
      <c r="E4" s="109" t="str">
        <f ca="1">IFERROR(__xludf.DUMMYFUNCTION("IMPORTRANGE(""1yxvnKk2gGDNIuz1R2GHLCP8UcRSEEAymvl41zLhKjMs"",""Geral!E34:I34"")"),"R. Catão, 611")</f>
        <v>R. Catão, 611</v>
      </c>
      <c r="F4" s="6" t="str">
        <f ca="1">IFERROR(__xludf.DUMMYFUNCTION("""COMPUTED_VALUE"""),"05049-000")</f>
        <v>05049-000</v>
      </c>
      <c r="G4" s="6" t="str">
        <f ca="1">IFERROR(__xludf.DUMMYFUNCTION("""COMPUTED_VALUE"""),"Vila Romana")</f>
        <v>Vila Romana</v>
      </c>
      <c r="H4" s="6" t="str">
        <f ca="1">IFERROR(__xludf.DUMMYFUNCTION("""COMPUTED_VALUE"""),"LAPA")</f>
        <v>LAPA</v>
      </c>
      <c r="I4" s="8" t="str">
        <f ca="1">IFERROR(__xludf.DUMMYFUNCTION("""COMPUTED_VALUE"""),"Z/O")</f>
        <v>Z/O</v>
      </c>
      <c r="J4" s="8">
        <v>4</v>
      </c>
      <c r="K4" s="224" t="s">
        <v>1150</v>
      </c>
      <c r="L4" s="238"/>
      <c r="M4" s="28"/>
      <c r="N4" s="28"/>
    </row>
    <row r="5" spans="2:16" ht="14.25">
      <c r="B5" s="5" t="s">
        <v>767</v>
      </c>
      <c r="C5" s="8">
        <v>2</v>
      </c>
      <c r="D5" s="5" t="s">
        <v>60</v>
      </c>
      <c r="E5" s="109" t="str">
        <f ca="1">IFERROR(__xludf.DUMMYFUNCTION("IMPORTRANGE(""1yxvnKk2gGDNIuz1R2GHLCP8UcRSEEAymvl41zLhKjMs"",""Geral!E34:I34"")"),"R. Catão, 611")</f>
        <v>R. Catão, 611</v>
      </c>
      <c r="F5" s="6" t="str">
        <f ca="1">IFERROR(__xludf.DUMMYFUNCTION("""COMPUTED_VALUE"""),"05049-000")</f>
        <v>05049-000</v>
      </c>
      <c r="G5" s="6" t="str">
        <f ca="1">IFERROR(__xludf.DUMMYFUNCTION("""COMPUTED_VALUE"""),"Vila Romana")</f>
        <v>Vila Romana</v>
      </c>
      <c r="H5" s="6" t="str">
        <f ca="1">IFERROR(__xludf.DUMMYFUNCTION("""COMPUTED_VALUE"""),"LAPA")</f>
        <v>LAPA</v>
      </c>
      <c r="I5" s="8" t="str">
        <f ca="1">IFERROR(__xludf.DUMMYFUNCTION("""COMPUTED_VALUE"""),"Z/O")</f>
        <v>Z/O</v>
      </c>
      <c r="J5" s="237">
        <v>1</v>
      </c>
      <c r="K5" s="6" t="s">
        <v>61</v>
      </c>
      <c r="L5" s="199"/>
      <c r="M5" s="28"/>
      <c r="N5" s="28"/>
    </row>
    <row r="6" spans="2:16" ht="14.25">
      <c r="B6" s="5" t="s">
        <v>767</v>
      </c>
      <c r="C6" s="8">
        <v>2</v>
      </c>
      <c r="D6" s="5" t="str">
        <f ca="1">IFERROR(__xludf.DUMMYFUNCTION("IMPORTRANGE(""1UwBEczQmPcrI9wtIZdda9LccAr_zrr8rITmOrURuNmA"",""Estrutura!A69"")"),"SCT - Doação e Apoio Técnico")</f>
        <v>SCT - Doação e Apoio Técnico</v>
      </c>
      <c r="E6" s="109" t="str">
        <f ca="1">IFERROR(__xludf.DUMMYFUNCTION("IMPORTRANGE(""1yxvnKk2gGDNIuz1R2GHLCP8UcRSEEAymvl41zLhKjMs"",""Geral!E34:I34"")"),"R. Catão, 611")</f>
        <v>R. Catão, 611</v>
      </c>
      <c r="F6" s="6" t="str">
        <f ca="1">IFERROR(__xludf.DUMMYFUNCTION("""COMPUTED_VALUE"""),"05049-000")</f>
        <v>05049-000</v>
      </c>
      <c r="G6" s="6" t="str">
        <f ca="1">IFERROR(__xludf.DUMMYFUNCTION("""COMPUTED_VALUE"""),"Vila Romana")</f>
        <v>Vila Romana</v>
      </c>
      <c r="H6" s="6" t="str">
        <f ca="1">IFERROR(__xludf.DUMMYFUNCTION("""COMPUTED_VALUE"""),"LAPA")</f>
        <v>LAPA</v>
      </c>
      <c r="I6" s="8" t="str">
        <f ca="1">IFERROR(__xludf.DUMMYFUNCTION("""COMPUTED_VALUE"""),"Z/O")</f>
        <v>Z/O</v>
      </c>
      <c r="J6" s="237">
        <v>2</v>
      </c>
      <c r="K6" s="6" t="s">
        <v>72</v>
      </c>
      <c r="L6" s="199"/>
      <c r="M6" s="28"/>
      <c r="N6" s="28"/>
    </row>
    <row r="7" spans="2:16" ht="14.25">
      <c r="B7" s="5" t="s">
        <v>1151</v>
      </c>
      <c r="C7" s="8">
        <v>2</v>
      </c>
      <c r="D7" s="5" t="str">
        <f ca="1">IFERROR(__xludf.DUMMYFUNCTION("IMPORTRANGE(""1UwBEczQmPcrI9wtIZdda9LccAr_zrr8rITmOrURuNmA"",""Estrutura!A60"")"),"SCT - Seção de Controle Bibliográfico")</f>
        <v>SCT - Seção de Controle Bibliográfico</v>
      </c>
      <c r="E7" s="109" t="str">
        <f ca="1">IFERROR(__xludf.DUMMYFUNCTION("IMPORTRANGE(""1yxvnKk2gGDNIuz1R2GHLCP8UcRSEEAymvl41zLhKjMs"",""Geral!E34:I34"")"),"R. Catão, 611")</f>
        <v>R. Catão, 611</v>
      </c>
      <c r="F7" s="6" t="str">
        <f ca="1">IFERROR(__xludf.DUMMYFUNCTION("""COMPUTED_VALUE"""),"05049-000")</f>
        <v>05049-000</v>
      </c>
      <c r="G7" s="6" t="str">
        <f ca="1">IFERROR(__xludf.DUMMYFUNCTION("""COMPUTED_VALUE"""),"Vila Romana")</f>
        <v>Vila Romana</v>
      </c>
      <c r="H7" s="6" t="str">
        <f ca="1">IFERROR(__xludf.DUMMYFUNCTION("""COMPUTED_VALUE"""),"LAPA")</f>
        <v>LAPA</v>
      </c>
      <c r="I7" s="8" t="str">
        <f ca="1">IFERROR(__xludf.DUMMYFUNCTION("""COMPUTED_VALUE"""),"Z/O")</f>
        <v>Z/O</v>
      </c>
      <c r="J7" s="237">
        <v>3</v>
      </c>
      <c r="K7" s="6" t="s">
        <v>67</v>
      </c>
      <c r="L7" s="199"/>
      <c r="M7" s="28"/>
      <c r="N7" s="28"/>
    </row>
    <row r="8" spans="2:16" ht="14.25">
      <c r="B8" s="5" t="s">
        <v>1152</v>
      </c>
      <c r="C8" s="8">
        <v>2</v>
      </c>
      <c r="D8" s="5" t="str">
        <f ca="1">IFERROR(__xludf.DUMMYFUNCTION("IMPORTRANGE(""1UwBEczQmPcrI9wtIZdda9LccAr_zrr8rITmOrURuNmA"",""Estrutura!A64"")"),"SCT - Controle de Vocabulário")</f>
        <v>SCT - Controle de Vocabulário</v>
      </c>
      <c r="E8" s="109" t="str">
        <f ca="1">IFERROR(__xludf.DUMMYFUNCTION("IMPORTRANGE(""1yxvnKk2gGDNIuz1R2GHLCP8UcRSEEAymvl41zLhKjMs"",""Geral!E34:I34"")"),"R. Catão, 611")</f>
        <v>R. Catão, 611</v>
      </c>
      <c r="F8" s="6" t="str">
        <f ca="1">IFERROR(__xludf.DUMMYFUNCTION("""COMPUTED_VALUE"""),"05049-000")</f>
        <v>05049-000</v>
      </c>
      <c r="G8" s="6" t="str">
        <f ca="1">IFERROR(__xludf.DUMMYFUNCTION("""COMPUTED_VALUE"""),"Vila Romana")</f>
        <v>Vila Romana</v>
      </c>
      <c r="H8" s="6" t="str">
        <f ca="1">IFERROR(__xludf.DUMMYFUNCTION("""COMPUTED_VALUE"""),"LAPA")</f>
        <v>LAPA</v>
      </c>
      <c r="I8" s="8" t="str">
        <f ca="1">IFERROR(__xludf.DUMMYFUNCTION("""COMPUTED_VALUE"""),"Z/O")</f>
        <v>Z/O</v>
      </c>
      <c r="J8" s="237">
        <v>4</v>
      </c>
      <c r="K8" s="6" t="s">
        <v>69</v>
      </c>
      <c r="L8" s="199"/>
      <c r="M8" s="28"/>
      <c r="N8" s="28"/>
    </row>
    <row r="9" spans="2:16" ht="14.25">
      <c r="B9" s="5" t="s">
        <v>1153</v>
      </c>
      <c r="C9" s="8">
        <v>2</v>
      </c>
      <c r="D9" s="5" t="str">
        <f ca="1">IFERROR(__xludf.DUMMYFUNCTION("IMPORTRANGE(""1UwBEczQmPcrI9wtIZdda9LccAr_zrr8rITmOrURuNmA"",""Estrutura!A54"")"),"SCT - Consistência de Dados")</f>
        <v>SCT - Consistência de Dados</v>
      </c>
      <c r="E9" s="109" t="str">
        <f ca="1">IFERROR(__xludf.DUMMYFUNCTION("IMPORTRANGE(""1yxvnKk2gGDNIuz1R2GHLCP8UcRSEEAymvl41zLhKjMs"",""Geral!E34:I34"")"),"R. Catão, 611")</f>
        <v>R. Catão, 611</v>
      </c>
      <c r="F9" s="6" t="str">
        <f ca="1">IFERROR(__xludf.DUMMYFUNCTION("""COMPUTED_VALUE"""),"05049-000")</f>
        <v>05049-000</v>
      </c>
      <c r="G9" s="6" t="str">
        <f ca="1">IFERROR(__xludf.DUMMYFUNCTION("""COMPUTED_VALUE"""),"Vila Romana")</f>
        <v>Vila Romana</v>
      </c>
      <c r="H9" s="6" t="str">
        <f ca="1">IFERROR(__xludf.DUMMYFUNCTION("""COMPUTED_VALUE"""),"LAPA")</f>
        <v>LAPA</v>
      </c>
      <c r="I9" s="8" t="str">
        <f ca="1">IFERROR(__xludf.DUMMYFUNCTION("""COMPUTED_VALUE"""),"Z/O")</f>
        <v>Z/O</v>
      </c>
      <c r="J9" s="237">
        <v>5</v>
      </c>
      <c r="K9" s="6" t="s">
        <v>65</v>
      </c>
      <c r="L9" s="199"/>
      <c r="M9" s="28"/>
      <c r="N9" s="28"/>
    </row>
    <row r="10" spans="2:16" ht="14.25">
      <c r="B10" s="5" t="s">
        <v>1149</v>
      </c>
      <c r="C10" s="8">
        <v>3</v>
      </c>
      <c r="D10" s="5" t="str">
        <f ca="1">IFERROR(__xludf.DUMMYFUNCTION("IMPORTRANGE(""1UwBEczQmPcrI9wtIZdda9LccAr_zrr8rITmOrURuNmA"",""Estrutura!A44"")"),"SCT – Coordenação")</f>
        <v>SCT – Coordenação</v>
      </c>
      <c r="E10" s="109" t="str">
        <f ca="1">IFERROR(__xludf.DUMMYFUNCTION("IMPORTRANGE(""1yxvnKk2gGDNIuz1R2GHLCP8UcRSEEAymvl41zLhKjMs"",""Geral!E34:I34"")"),"R. Catão, 611")</f>
        <v>R. Catão, 611</v>
      </c>
      <c r="F10" s="6" t="str">
        <f ca="1">IFERROR(__xludf.DUMMYFUNCTION("""COMPUTED_VALUE"""),"05049-000")</f>
        <v>05049-000</v>
      </c>
      <c r="G10" s="6" t="str">
        <f ca="1">IFERROR(__xludf.DUMMYFUNCTION("""COMPUTED_VALUE"""),"Vila Romana")</f>
        <v>Vila Romana</v>
      </c>
      <c r="H10" s="6" t="str">
        <f ca="1">IFERROR(__xludf.DUMMYFUNCTION("""COMPUTED_VALUE"""),"LAPA")</f>
        <v>LAPA</v>
      </c>
      <c r="I10" s="8" t="str">
        <f ca="1">IFERROR(__xludf.DUMMYFUNCTION("""COMPUTED_VALUE"""),"Z/O")</f>
        <v>Z/O</v>
      </c>
      <c r="J10" s="237">
        <v>1</v>
      </c>
      <c r="K10" s="6" t="s">
        <v>58</v>
      </c>
      <c r="L10" s="199"/>
      <c r="M10" s="28"/>
      <c r="N10" s="28"/>
    </row>
    <row r="11" spans="2:16" ht="16.5">
      <c r="B11" s="5" t="s">
        <v>782</v>
      </c>
      <c r="C11" s="8">
        <v>4</v>
      </c>
      <c r="D11" s="5" t="str">
        <f ca="1">IFERROR(__xludf.DUMMYFUNCTION("IMPORTRANGE(""1UwBEczQmPcrI9wtIZdda9LccAr_zrr8rITmOrURuNmA"",""Estrutura!A42"")"),"Assessoria em Tecnologia da Informação")</f>
        <v>Assessoria em Tecnologia da Informação</v>
      </c>
      <c r="E11" s="109" t="str">
        <f ca="1">IFERROR(__xludf.DUMMYFUNCTION("IMPORTRANGE(""1yxvnKk2gGDNIuz1R2GHLCP8UcRSEEAymvl41zLhKjMs"",""Geral!E34:I34"")"),"R. Catão, 611")</f>
        <v>R. Catão, 611</v>
      </c>
      <c r="F11" s="6" t="str">
        <f ca="1">IFERROR(__xludf.DUMMYFUNCTION("""COMPUTED_VALUE"""),"05049-000")</f>
        <v>05049-000</v>
      </c>
      <c r="G11" s="6" t="str">
        <f ca="1">IFERROR(__xludf.DUMMYFUNCTION("""COMPUTED_VALUE"""),"Vila Romana")</f>
        <v>Vila Romana</v>
      </c>
      <c r="H11" s="6" t="str">
        <f ca="1">IFERROR(__xludf.DUMMYFUNCTION("""COMPUTED_VALUE"""),"LAPA")</f>
        <v>LAPA</v>
      </c>
      <c r="I11" s="8" t="str">
        <f ca="1">IFERROR(__xludf.DUMMYFUNCTION("""COMPUTED_VALUE"""),"Z/O")</f>
        <v>Z/O</v>
      </c>
      <c r="J11" s="237">
        <v>3</v>
      </c>
      <c r="K11" s="6" t="s">
        <v>56</v>
      </c>
      <c r="L11" s="199"/>
      <c r="M11" s="29"/>
      <c r="N11" s="29"/>
    </row>
    <row r="12" spans="2:16" ht="16.5">
      <c r="B12" s="5" t="s">
        <v>1154</v>
      </c>
      <c r="C12" s="8">
        <v>4</v>
      </c>
      <c r="D12" s="5" t="str">
        <f ca="1">IFERROR(__xludf.DUMMYFUNCTION("IMPORTRANGE(""1UwBEczQmPcrI9wtIZdda9LccAr_zrr8rITmOrURuNmA"",""Estrutura!A30"")"),"Núcleos Regionais - Leste/Sul")</f>
        <v>Núcleos Regionais - Leste/Sul</v>
      </c>
      <c r="E12" s="109" t="str">
        <f ca="1">IFERROR(__xludf.DUMMYFUNCTION("IMPORTRANGE(""1yxvnKk2gGDNIuz1R2GHLCP8UcRSEEAymvl41zLhKjMs"",""Geral!E34:I34"")"),"R. Catão, 611")</f>
        <v>R. Catão, 611</v>
      </c>
      <c r="F12" s="6" t="str">
        <f ca="1">IFERROR(__xludf.DUMMYFUNCTION("""COMPUTED_VALUE"""),"05049-000")</f>
        <v>05049-000</v>
      </c>
      <c r="G12" s="6" t="str">
        <f ca="1">IFERROR(__xludf.DUMMYFUNCTION("""COMPUTED_VALUE"""),"Vila Romana")</f>
        <v>Vila Romana</v>
      </c>
      <c r="H12" s="6" t="str">
        <f ca="1">IFERROR(__xludf.DUMMYFUNCTION("""COMPUTED_VALUE"""),"LAPA")</f>
        <v>LAPA</v>
      </c>
      <c r="I12" s="8" t="str">
        <f ca="1">IFERROR(__xludf.DUMMYFUNCTION("""COMPUTED_VALUE"""),"Z/O")</f>
        <v>Z/O</v>
      </c>
      <c r="J12" s="237">
        <v>0</v>
      </c>
      <c r="K12" s="6" t="s">
        <v>46</v>
      </c>
      <c r="L12" s="199"/>
      <c r="M12" s="29"/>
      <c r="N12" s="29"/>
    </row>
    <row r="13" spans="2:16" ht="14.25">
      <c r="B13" s="5" t="s">
        <v>1155</v>
      </c>
      <c r="C13" s="8">
        <v>4</v>
      </c>
      <c r="D13" s="5" t="str">
        <f ca="1">IFERROR(__xludf.DUMMYFUNCTION("IMPORTRANGE(""1UwBEczQmPcrI9wtIZdda9LccAr_zrr8rITmOrURuNmA"",""Estrutura!A31"")"),"Núcleos Regionais - Centro/Norte/Oeste")</f>
        <v>Núcleos Regionais - Centro/Norte/Oeste</v>
      </c>
      <c r="E13" s="109" t="str">
        <f ca="1">IFERROR(__xludf.DUMMYFUNCTION("IMPORTRANGE(""1yxvnKk2gGDNIuz1R2GHLCP8UcRSEEAymvl41zLhKjMs"",""Geral!E34:I34"")"),"R. Catão, 611")</f>
        <v>R. Catão, 611</v>
      </c>
      <c r="F13" s="6" t="str">
        <f ca="1">IFERROR(__xludf.DUMMYFUNCTION("""COMPUTED_VALUE"""),"05049-000")</f>
        <v>05049-000</v>
      </c>
      <c r="G13" s="6" t="str">
        <f ca="1">IFERROR(__xludf.DUMMYFUNCTION("""COMPUTED_VALUE"""),"Vila Romana")</f>
        <v>Vila Romana</v>
      </c>
      <c r="H13" s="6" t="str">
        <f ca="1">IFERROR(__xludf.DUMMYFUNCTION("""COMPUTED_VALUE"""),"LAPA")</f>
        <v>LAPA</v>
      </c>
      <c r="I13" s="8" t="str">
        <f ca="1">IFERROR(__xludf.DUMMYFUNCTION("""COMPUTED_VALUE"""),"Z/O")</f>
        <v>Z/O</v>
      </c>
      <c r="J13" s="237">
        <v>0</v>
      </c>
      <c r="K13" s="6" t="s">
        <v>49</v>
      </c>
      <c r="L13" s="199"/>
      <c r="M13" s="28"/>
      <c r="N13" s="28"/>
    </row>
    <row r="14" spans="2:16" ht="16.5">
      <c r="B14" s="5"/>
      <c r="C14" s="8">
        <v>5</v>
      </c>
      <c r="D14" s="5" t="str">
        <f ca="1">IFERROR(__xludf.DUMMYFUNCTION("IMPORTRANGE(""1UwBEczQmPcrI9wtIZdda9LccAr_zrr8rITmOrURuNmA"",""Estrutura!A27"")"),"Supervisão de Bibliotecas")</f>
        <v>Supervisão de Bibliotecas</v>
      </c>
      <c r="E14" s="109" t="str">
        <f ca="1">IFERROR(__xludf.DUMMYFUNCTION("IMPORTRANGE(""1yxvnKk2gGDNIuz1R2GHLCP8UcRSEEAymvl41zLhKjMs"",""Geral!E34:I34"")"),"R. Catão, 611")</f>
        <v>R. Catão, 611</v>
      </c>
      <c r="F14" s="6" t="str">
        <f ca="1">IFERROR(__xludf.DUMMYFUNCTION("""COMPUTED_VALUE"""),"05049-000")</f>
        <v>05049-000</v>
      </c>
      <c r="G14" s="6" t="str">
        <f ca="1">IFERROR(__xludf.DUMMYFUNCTION("""COMPUTED_VALUE"""),"Vila Romana")</f>
        <v>Vila Romana</v>
      </c>
      <c r="H14" s="6" t="str">
        <f ca="1">IFERROR(__xludf.DUMMYFUNCTION("""COMPUTED_VALUE"""),"LAPA")</f>
        <v>LAPA</v>
      </c>
      <c r="I14" s="8" t="str">
        <f ca="1">IFERROR(__xludf.DUMMYFUNCTION("""COMPUTED_VALUE"""),"Z/O")</f>
        <v>Z/O</v>
      </c>
      <c r="J14" s="237">
        <v>6</v>
      </c>
      <c r="K14" s="6" t="s">
        <v>43</v>
      </c>
      <c r="L14" s="199"/>
      <c r="M14" s="29"/>
      <c r="N14" s="29"/>
    </row>
    <row r="15" spans="2:16" ht="14.25">
      <c r="B15" s="5" t="s">
        <v>779</v>
      </c>
      <c r="C15" s="8">
        <v>5</v>
      </c>
      <c r="D15" s="5" t="str">
        <f ca="1">IFERROR(__xludf.DUMMYFUNCTION("IMPORTRANGE(""1UwBEczQmPcrI9wtIZdda9LccAr_zrr8rITmOrURuNmA"",""Estrutura!A21"")"),"CSMB – Coordenação")</f>
        <v>CSMB – Coordenação</v>
      </c>
      <c r="E15" s="381" t="str">
        <f ca="1">IFERROR(__xludf.DUMMYFUNCTION("IMPORTRANGE(""1yxvnKk2gGDNIuz1R2GHLCP8UcRSEEAymvl41zLhKjMs"",""Geral!E34:I34"")"),"R. Catão, 611")</f>
        <v>R. Catão, 611</v>
      </c>
      <c r="F15" s="382" t="str">
        <f ca="1">IFERROR(__xludf.DUMMYFUNCTION("""COMPUTED_VALUE"""),"05049-000")</f>
        <v>05049-000</v>
      </c>
      <c r="G15" s="382" t="str">
        <f ca="1">IFERROR(__xludf.DUMMYFUNCTION("""COMPUTED_VALUE"""),"Vila Romana")</f>
        <v>Vila Romana</v>
      </c>
      <c r="H15" s="382" t="str">
        <f ca="1">IFERROR(__xludf.DUMMYFUNCTION("""COMPUTED_VALUE"""),"LAPA")</f>
        <v>LAPA</v>
      </c>
      <c r="I15" s="376" t="str">
        <f ca="1">IFERROR(__xludf.DUMMYFUNCTION("""COMPUTED_VALUE"""),"Z/O")</f>
        <v>Z/O</v>
      </c>
      <c r="J15" s="237">
        <v>9</v>
      </c>
      <c r="K15" s="6" t="s">
        <v>39</v>
      </c>
      <c r="L15" s="199"/>
      <c r="M15" s="28"/>
      <c r="N15" s="28"/>
    </row>
    <row r="16" spans="2:16" ht="14.25">
      <c r="B16" s="5" t="s">
        <v>1156</v>
      </c>
      <c r="C16" s="8">
        <v>5</v>
      </c>
      <c r="D16" s="5" t="s">
        <v>1157</v>
      </c>
      <c r="E16" s="377"/>
      <c r="F16" s="377"/>
      <c r="G16" s="377"/>
      <c r="H16" s="377"/>
      <c r="I16" s="377"/>
      <c r="J16" s="237"/>
      <c r="K16" s="6" t="s">
        <v>1150</v>
      </c>
      <c r="L16" s="199"/>
      <c r="M16" s="28"/>
      <c r="N16" s="28"/>
    </row>
    <row r="17" spans="2:14" ht="14.25">
      <c r="B17" s="5" t="s">
        <v>1158</v>
      </c>
      <c r="C17" s="8">
        <v>6</v>
      </c>
      <c r="D17" s="5" t="str">
        <f ca="1">IFERROR(__xludf.DUMMYFUNCTION("IMPORTRANGE(""1UwBEczQmPcrI9wtIZdda9LccAr_zrr8rITmOrURuNmA"",""Estrutura!A34"")"),"Supervisão de Planejamento - Coordenação")</f>
        <v>Supervisão de Planejamento - Coordenação</v>
      </c>
      <c r="E17" s="109" t="str">
        <f ca="1">IFERROR(__xludf.DUMMYFUNCTION("IMPORTRANGE(""1yxvnKk2gGDNIuz1R2GHLCP8UcRSEEAymvl41zLhKjMs"",""Geral!E34:I34"")"),"R. Catão, 611")</f>
        <v>R. Catão, 611</v>
      </c>
      <c r="F17" s="6" t="str">
        <f ca="1">IFERROR(__xludf.DUMMYFUNCTION("""COMPUTED_VALUE"""),"05049-000")</f>
        <v>05049-000</v>
      </c>
      <c r="G17" s="6" t="str">
        <f ca="1">IFERROR(__xludf.DUMMYFUNCTION("""COMPUTED_VALUE"""),"Vila Romana")</f>
        <v>Vila Romana</v>
      </c>
      <c r="H17" s="6" t="str">
        <f ca="1">IFERROR(__xludf.DUMMYFUNCTION("""COMPUTED_VALUE"""),"LAPA")</f>
        <v>LAPA</v>
      </c>
      <c r="I17" s="8" t="str">
        <f ca="1">IFERROR(__xludf.DUMMYFUNCTION("""COMPUTED_VALUE"""),"Z/O")</f>
        <v>Z/O</v>
      </c>
      <c r="J17" s="237">
        <v>5</v>
      </c>
      <c r="K17" s="6" t="s">
        <v>53</v>
      </c>
      <c r="L17" s="199"/>
      <c r="M17" s="28"/>
      <c r="N17" s="28"/>
    </row>
    <row r="18" spans="2:14" ht="14.25">
      <c r="B18" s="6"/>
      <c r="C18" s="8">
        <v>6</v>
      </c>
      <c r="D18" s="5" t="str">
        <f ca="1">IFERROR(__xludf.DUMMYFUNCTION("IMPORTRANGE(""1UwBEczQmPcrI9wtIZdda9LccAr_zrr8rITmOrURuNmA"",""Estrutura!A71"")"),"Supervisão de Programas e Projetos")</f>
        <v>Supervisão de Programas e Projetos</v>
      </c>
      <c r="E18" s="109" t="str">
        <f ca="1">IFERROR(__xludf.DUMMYFUNCTION("IMPORTRANGE(""1yxvnKk2gGDNIuz1R2GHLCP8UcRSEEAymvl41zLhKjMs"",""Geral!E34:I34"")"),"R. Catão, 611")</f>
        <v>R. Catão, 611</v>
      </c>
      <c r="F18" s="6" t="str">
        <f ca="1">IFERROR(__xludf.DUMMYFUNCTION("""COMPUTED_VALUE"""),"05049-000")</f>
        <v>05049-000</v>
      </c>
      <c r="G18" s="6" t="str">
        <f ca="1">IFERROR(__xludf.DUMMYFUNCTION("""COMPUTED_VALUE"""),"Vila Romana")</f>
        <v>Vila Romana</v>
      </c>
      <c r="H18" s="6" t="str">
        <f ca="1">IFERROR(__xludf.DUMMYFUNCTION("""COMPUTED_VALUE"""),"LAPA")</f>
        <v>LAPA</v>
      </c>
      <c r="I18" s="8" t="str">
        <f ca="1">IFERROR(__xludf.DUMMYFUNCTION("""COMPUTED_VALUE"""),"Z/O")</f>
        <v>Z/O</v>
      </c>
      <c r="J18" s="237">
        <v>4</v>
      </c>
      <c r="K18" s="6" t="s">
        <v>75</v>
      </c>
      <c r="L18" s="199"/>
      <c r="M18" s="28"/>
      <c r="N18" s="28"/>
    </row>
    <row r="19" spans="2:14" s="232" customFormat="1" ht="42.75">
      <c r="B19" s="229" t="s">
        <v>1159</v>
      </c>
      <c r="C19" s="37"/>
      <c r="D19" s="229" t="str">
        <f ca="1">IFERROR(__xludf.DUMMYFUNCTION("IMPORTRANGE(""1UwBEczQmPcrI9wtIZdda9LccAr_zrr8rITmOrURuNmA"",""Estrutura!A13"")"),"Setor de Reencadernação")</f>
        <v>Setor de Reencadernação</v>
      </c>
      <c r="E19" s="230" t="str">
        <f ca="1">IFERROR(__xludf.DUMMYFUNCTION("IMPORTRANGE(""1yxvnKk2gGDNIuz1R2GHLCP8UcRSEEAymvl41zLhKjMs"",""Geral!E31:I31"")"),"Pça. Haroldo Daltro, 451")</f>
        <v>Pça. Haroldo Daltro, 451</v>
      </c>
      <c r="F19" s="36" t="str">
        <f ca="1">IFERROR(__xludf.DUMMYFUNCTION("""COMPUTED_VALUE"""),"03444-090")</f>
        <v>03444-090</v>
      </c>
      <c r="G19" s="36" t="str">
        <f ca="1">IFERROR(__xludf.DUMMYFUNCTION("""COMPUTED_VALUE"""),"Vila Manchester")</f>
        <v>Vila Manchester</v>
      </c>
      <c r="H19" s="231" t="str">
        <f ca="1">IFERROR(__xludf.DUMMYFUNCTION("""COMPUTED_VALUE"""),"ARICANDUVA
CARRÃO
FORMOSA")</f>
        <v>ARICANDUVA
CARRÃO
FORMOSA</v>
      </c>
      <c r="I19" s="37" t="str">
        <f ca="1">IFERROR(__xludf.DUMMYFUNCTION("""COMPUTED_VALUE"""),"Z/L")</f>
        <v>Z/L</v>
      </c>
      <c r="J19" s="37">
        <v>3</v>
      </c>
      <c r="K19" s="239" t="s">
        <v>34</v>
      </c>
      <c r="L19" s="240"/>
      <c r="M19" s="233"/>
      <c r="N19" s="233"/>
    </row>
    <row r="20" spans="2:14" ht="14.25">
      <c r="B20" s="5" t="s">
        <v>1160</v>
      </c>
      <c r="C20" s="8"/>
      <c r="D20" s="5" t="str">
        <f ca="1">IFERROR(__xludf.DUMMYFUNCTION("IMPORTRANGE(""1UwBEczQmPcrI9wtIZdda9LccAr_zrr8rITmOrURuNmA"",""Estrutura!A81"")"),"Zeladoria*")</f>
        <v>Zeladoria*</v>
      </c>
      <c r="E20" s="109" t="s">
        <v>1161</v>
      </c>
      <c r="F20" s="6" t="s">
        <v>1162</v>
      </c>
      <c r="G20" s="6" t="s">
        <v>1163</v>
      </c>
      <c r="H20" s="6" t="s">
        <v>159</v>
      </c>
      <c r="I20" s="8" t="s">
        <v>160</v>
      </c>
      <c r="J20" s="8">
        <v>4</v>
      </c>
      <c r="K20" s="225" t="s">
        <v>80</v>
      </c>
      <c r="L20" s="234"/>
      <c r="M20" s="28"/>
      <c r="N20" s="28"/>
    </row>
    <row r="21" spans="2:14" ht="16.5">
      <c r="B21" s="5" t="s">
        <v>1164</v>
      </c>
      <c r="C21" s="8"/>
      <c r="D21" s="5" t="s">
        <v>1165</v>
      </c>
      <c r="E21" s="109" t="s">
        <v>1161</v>
      </c>
      <c r="F21" s="6" t="s">
        <v>1166</v>
      </c>
      <c r="G21" s="6" t="s">
        <v>1163</v>
      </c>
      <c r="H21" s="6" t="s">
        <v>159</v>
      </c>
      <c r="I21" s="8" t="s">
        <v>160</v>
      </c>
      <c r="J21" s="8"/>
      <c r="K21" s="225" t="s">
        <v>1150</v>
      </c>
      <c r="L21" s="199"/>
      <c r="M21" s="29"/>
      <c r="N21" s="29"/>
    </row>
    <row r="22" spans="2:14" ht="14.25">
      <c r="B22" s="5" t="s">
        <v>1167</v>
      </c>
      <c r="C22" s="5"/>
      <c r="D22" s="110" t="s">
        <v>1168</v>
      </c>
      <c r="E22" s="109" t="str">
        <f ca="1">IFERROR(__xludf.DUMMYFUNCTION("IMPORTRANGE(""1yxvnKk2gGDNIuz1R2GHLCP8UcRSEEAymvl41zLhKjMs"",""Geral!E6:i6"")"),"R. Taquari, 549")</f>
        <v>R. Taquari, 549</v>
      </c>
      <c r="F22" s="9" t="str">
        <f ca="1">IFERROR(__xludf.DUMMYFUNCTION("""COMPUTED_VALUE"""),"03162-030")</f>
        <v>03162-030</v>
      </c>
      <c r="G22" s="9" t="str">
        <f ca="1">IFERROR(__xludf.DUMMYFUNCTION("""COMPUTED_VALUE"""),"Moóca")</f>
        <v>Moóca</v>
      </c>
      <c r="H22" s="9" t="str">
        <f ca="1">IFERROR(__xludf.DUMMYFUNCTION("""COMPUTED_VALUE"""),"MOOCA")</f>
        <v>MOOCA</v>
      </c>
      <c r="I22" s="8" t="str">
        <f ca="1">IFERROR(__xludf.DUMMYFUNCTION("""COMPUTED_VALUE"""),"Z/L")</f>
        <v>Z/L</v>
      </c>
      <c r="J22" s="8"/>
      <c r="K22" s="225" t="s">
        <v>1150</v>
      </c>
      <c r="L22" s="8" t="s">
        <v>1169</v>
      </c>
      <c r="M22" s="235"/>
    </row>
    <row r="23" spans="2:14" ht="14.25">
      <c r="B23" s="5" t="s">
        <v>1170</v>
      </c>
      <c r="C23" s="5"/>
      <c r="D23" s="110" t="s">
        <v>1171</v>
      </c>
      <c r="E23" s="109" t="str">
        <f ca="1">IFERROR(__xludf.DUMMYFUNCTION("IMPORTRANGE(""1yxvnKk2gGDNIuz1R2GHLCP8UcRSEEAymvl41zLhKjMs"",""Geral!E6:i6"")"),"R. Taquari, 549")</f>
        <v>R. Taquari, 549</v>
      </c>
      <c r="F23" s="9" t="str">
        <f ca="1">IFERROR(__xludf.DUMMYFUNCTION("""COMPUTED_VALUE"""),"03162-030")</f>
        <v>03162-030</v>
      </c>
      <c r="G23" s="9" t="str">
        <f ca="1">IFERROR(__xludf.DUMMYFUNCTION("""COMPUTED_VALUE"""),"Moóca")</f>
        <v>Moóca</v>
      </c>
      <c r="H23" s="9" t="str">
        <f ca="1">IFERROR(__xludf.DUMMYFUNCTION("""COMPUTED_VALUE"""),"MOOCA")</f>
        <v>MOOCA</v>
      </c>
      <c r="I23" s="8" t="str">
        <f ca="1">IFERROR(__xludf.DUMMYFUNCTION("""COMPUTED_VALUE"""),"Z/L")</f>
        <v>Z/L</v>
      </c>
      <c r="J23" s="12"/>
      <c r="K23" s="225" t="s">
        <v>1150</v>
      </c>
      <c r="L23" s="8"/>
      <c r="M23" s="235"/>
      <c r="N23" s="8"/>
    </row>
    <row r="24" spans="2:14" ht="14.25">
      <c r="B24" s="30" t="s">
        <v>776</v>
      </c>
      <c r="C24" s="31"/>
      <c r="D24" s="30" t="s">
        <v>1172</v>
      </c>
      <c r="E24" s="378" t="s">
        <v>1173</v>
      </c>
      <c r="F24" s="11"/>
      <c r="G24" s="11"/>
      <c r="H24" s="11"/>
      <c r="I24" s="20"/>
      <c r="J24" s="20"/>
      <c r="L24" s="28"/>
      <c r="M24" s="28"/>
      <c r="N24" s="28"/>
    </row>
    <row r="25" spans="2:14" ht="14.25">
      <c r="B25" s="30" t="s">
        <v>1174</v>
      </c>
      <c r="C25" s="31"/>
      <c r="D25" s="30" t="s">
        <v>1175</v>
      </c>
      <c r="E25" s="379"/>
      <c r="F25" s="11"/>
      <c r="G25" s="11"/>
      <c r="H25" s="11"/>
      <c r="I25" s="20"/>
      <c r="J25" s="20"/>
      <c r="K25" s="11"/>
      <c r="L25" s="28"/>
      <c r="M25" s="28"/>
      <c r="N25" s="28"/>
    </row>
    <row r="26" spans="2:14" ht="14.25">
      <c r="B26" s="30" t="s">
        <v>1176</v>
      </c>
      <c r="C26" s="31"/>
      <c r="D26" s="30" t="s">
        <v>1177</v>
      </c>
      <c r="E26" s="379"/>
      <c r="F26" s="11"/>
      <c r="G26" s="11"/>
      <c r="H26" s="11"/>
      <c r="I26" s="20"/>
      <c r="J26" s="20"/>
      <c r="K26" s="11"/>
      <c r="L26" s="28"/>
      <c r="M26" s="28"/>
      <c r="N26" s="28"/>
    </row>
    <row r="27" spans="2:14" ht="14.25">
      <c r="B27" s="30" t="s">
        <v>1178</v>
      </c>
      <c r="C27" s="31"/>
      <c r="D27" s="30" t="s">
        <v>1179</v>
      </c>
      <c r="E27" s="379"/>
      <c r="F27" s="49"/>
      <c r="G27" s="11"/>
      <c r="H27" s="11"/>
      <c r="I27" s="20"/>
      <c r="J27" s="20"/>
      <c r="K27" s="11"/>
      <c r="L27" s="28"/>
      <c r="M27" s="28"/>
      <c r="N27" s="28"/>
    </row>
    <row r="28" spans="2:14" ht="14.25">
      <c r="B28" s="30" t="s">
        <v>1180</v>
      </c>
      <c r="C28" s="31"/>
      <c r="D28" s="30" t="s">
        <v>1181</v>
      </c>
      <c r="E28" s="379"/>
      <c r="F28" s="11"/>
      <c r="G28" s="11"/>
      <c r="H28" s="11"/>
      <c r="I28" s="20"/>
      <c r="J28" s="20"/>
      <c r="K28" s="11"/>
      <c r="L28" s="28"/>
      <c r="M28" s="28"/>
      <c r="N28" s="28"/>
    </row>
    <row r="29" spans="2:14" ht="14.25">
      <c r="B29" s="30" t="s">
        <v>1182</v>
      </c>
      <c r="C29" s="31"/>
      <c r="D29" s="30" t="s">
        <v>1183</v>
      </c>
      <c r="E29" s="379"/>
      <c r="F29" s="11"/>
      <c r="G29" s="11"/>
      <c r="H29" s="11"/>
      <c r="I29" s="20"/>
      <c r="J29" s="20"/>
      <c r="K29" s="11"/>
      <c r="L29" s="28"/>
      <c r="M29" s="28"/>
      <c r="N29" s="28"/>
    </row>
    <row r="30" spans="2:14" ht="16.5">
      <c r="B30" s="30" t="s">
        <v>1184</v>
      </c>
      <c r="C30" s="31"/>
      <c r="D30" s="30" t="s">
        <v>1185</v>
      </c>
      <c r="E30" s="380"/>
      <c r="F30" s="11"/>
      <c r="G30" s="11"/>
      <c r="H30" s="11"/>
      <c r="I30" s="20"/>
      <c r="J30" s="20"/>
      <c r="K30" s="11"/>
      <c r="L30" s="28"/>
      <c r="M30" s="29"/>
      <c r="N30" s="29"/>
    </row>
    <row r="31" spans="2:14" ht="15.75" customHeight="1"/>
  </sheetData>
  <protectedRanges>
    <protectedRange sqref="L3:L23" name="Range1"/>
  </protectedRanges>
  <mergeCells count="8">
    <mergeCell ref="F1:G1"/>
    <mergeCell ref="I1:J1"/>
    <mergeCell ref="I15:I16"/>
    <mergeCell ref="E24:E30"/>
    <mergeCell ref="E15:E16"/>
    <mergeCell ref="F15:F16"/>
    <mergeCell ref="G15:G16"/>
    <mergeCell ref="H15:H16"/>
  </mergeCells>
  <conditionalFormatting sqref="L25:L30">
    <cfRule type="containsText" dxfId="9" priority="1" operator="containsText" text="1">
      <formula>NOT(ISERROR(SEARCH(("1"),(L25))))</formula>
    </cfRule>
  </conditionalFormatting>
  <hyperlinks>
    <hyperlink ref="E20" r:id="rId1" xr:uid="{00000000-0004-0000-0100-000008000000}"/>
    <hyperlink ref="E21" r:id="rId2" xr:uid="{00000000-0004-0000-0100-000009000000}"/>
    <hyperlink ref="D22" r:id="rId3" xr:uid="{00000000-0004-0000-0100-00000A000000}"/>
    <hyperlink ref="D23" r:id="rId4" xr:uid="{00000000-0004-0000-0100-00000B000000}"/>
  </hyperlinks>
  <printOptions horizontalCentered="1" gridLines="1"/>
  <pageMargins left="0.7" right="0.7" top="0.75" bottom="0.75" header="0" footer="0"/>
  <pageSetup paperSize="9" pageOrder="overThenDown" orientation="landscape" cellComments="atEnd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7" name="Button 1">
              <controlPr defaultSize="0" print="0" autoFill="0" autoPict="0" macro="[0]!Módulo2.Estrutura">
                <anchor moveWithCells="1" sizeWithCells="1">
                  <from>
                    <xdr:col>1</xdr:col>
                    <xdr:colOff>609600</xdr:colOff>
                    <xdr:row>0</xdr:row>
                    <xdr:rowOff>152400</xdr:rowOff>
                  </from>
                  <to>
                    <xdr:col>1</xdr:col>
                    <xdr:colOff>1857375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outlinePr summaryBelow="0" summaryRight="0"/>
    <pageSetUpPr fitToPage="1"/>
  </sheetPr>
  <dimension ref="A1:R75"/>
  <sheetViews>
    <sheetView showGridLines="0" workbookViewId="0">
      <pane ySplit="2" topLeftCell="A3" activePane="bottomLeft" state="frozen"/>
      <selection activeCell="I1" sqref="I1"/>
      <selection pane="bottomLeft" activeCell="L56" sqref="C2:L56"/>
    </sheetView>
  </sheetViews>
  <sheetFormatPr defaultColWidth="0" defaultRowHeight="15.75" customHeight="1" zeroHeight="1"/>
  <cols>
    <col min="1" max="1" width="19.42578125" bestFit="1" customWidth="1"/>
    <col min="2" max="2" width="14.42578125" customWidth="1"/>
    <col min="3" max="3" width="4" customWidth="1"/>
    <col min="4" max="4" width="7.140625" hidden="1" customWidth="1"/>
    <col min="5" max="5" width="44.140625" bestFit="1" customWidth="1"/>
    <col min="6" max="6" width="9.140625" hidden="1" customWidth="1"/>
    <col min="7" max="7" width="8.5703125" hidden="1" customWidth="1"/>
    <col min="8" max="8" width="15.28515625" customWidth="1"/>
    <col min="9" max="9" width="18.42578125" customWidth="1"/>
    <col min="10" max="10" width="17.42578125" customWidth="1"/>
    <col min="11" max="11" width="19.7109375" customWidth="1"/>
    <col min="12" max="12" width="9.85546875" customWidth="1"/>
    <col min="13" max="13" width="18.42578125" customWidth="1"/>
  </cols>
  <sheetData>
    <row r="1" spans="1:18" ht="92.25" customHeight="1">
      <c r="A1" s="245"/>
      <c r="B1" s="389"/>
      <c r="C1" s="389"/>
      <c r="D1" s="246"/>
      <c r="E1" s="246"/>
      <c r="F1" s="246"/>
      <c r="G1" s="246"/>
      <c r="H1" s="246"/>
      <c r="I1" s="246"/>
      <c r="J1" s="246"/>
      <c r="K1" s="246"/>
      <c r="L1" s="247"/>
      <c r="M1" s="32"/>
    </row>
    <row r="2" spans="1:18" ht="27" customHeight="1">
      <c r="A2" s="33" t="str">
        <f ca="1">IFERROR(__xludf.DUMMYFUNCTION("IMPORTRANGE(""1yxvnKk2gGDNIuz1R2GHLCP8UcRSEEAymvl41zLhKjMs"",""Geral!A3:A88"")"),"Status
Unidade")</f>
        <v>Status
Unidade</v>
      </c>
      <c r="B2" s="33" t="s">
        <v>1186</v>
      </c>
      <c r="C2" s="33" t="s">
        <v>1187</v>
      </c>
      <c r="D2" s="33" t="str">
        <f ca="1">IFERROR(__xludf.DUMMYFUNCTION("IMPORTRANGE(""1yxvnKk2gGDNIuz1R2GHLCP8UcRSEEAymvl41zLhKjMs"",""Geral!C3:D88"")"),"")</f>
        <v/>
      </c>
      <c r="E2" s="165" t="str">
        <f ca="1">IFERROR(__xludf.DUMMYFUNCTION("""COMPUTED_VALUE"""),"Unidade")</f>
        <v>Unidade</v>
      </c>
      <c r="F2" s="33" t="s">
        <v>1188</v>
      </c>
      <c r="G2" s="34" t="s">
        <v>1189</v>
      </c>
      <c r="H2" s="34" t="s">
        <v>1190</v>
      </c>
      <c r="I2" s="34" t="s">
        <v>1191</v>
      </c>
      <c r="J2" s="34" t="s">
        <v>1192</v>
      </c>
      <c r="K2" s="34" t="s">
        <v>1193</v>
      </c>
      <c r="L2" s="34" t="s">
        <v>1194</v>
      </c>
      <c r="M2" s="35" t="s">
        <v>1195</v>
      </c>
    </row>
    <row r="3" spans="1:18" ht="14.25">
      <c r="A3" s="178" t="s">
        <v>164</v>
      </c>
      <c r="B3" s="5" t="s">
        <v>1196</v>
      </c>
      <c r="C3" s="37">
        <v>1</v>
      </c>
      <c r="D3" s="36" t="str">
        <f ca="1">IFERROR(__xludf.DUMMYFUNCTION("""COMPUTED_VALUE"""),"BM24")</f>
        <v>BM24</v>
      </c>
      <c r="E3" s="111" t="str">
        <f ca="1">IFERROR(__xludf.DUMMYFUNCTION("""COMPUTED_VALUE"""),"Biblioteca Adelpha Figueiredo")</f>
        <v>Biblioteca Adelpha Figueiredo</v>
      </c>
      <c r="F3" s="38" t="str">
        <f ca="1">IFERROR(__xludf.DUMMYFUNCTION("IMPORTRANGE(""1yxvnKk2gGDNIuz1R2GHLCP8UcRSEEAymvl41zLhKjMs"",""Geral!i4:i100"")"),"Z/N")</f>
        <v>Z/N</v>
      </c>
      <c r="G3" s="39" t="s">
        <v>1197</v>
      </c>
      <c r="H3" s="40" t="s">
        <v>1198</v>
      </c>
      <c r="I3" s="197">
        <v>255255255192</v>
      </c>
      <c r="J3" s="41" t="s">
        <v>1199</v>
      </c>
      <c r="K3" s="41" t="s">
        <v>1200</v>
      </c>
      <c r="L3" s="40" t="s">
        <v>1201</v>
      </c>
    </row>
    <row r="4" spans="1:18" ht="14.25">
      <c r="A4" s="4" t="str">
        <f>Geral!A5</f>
        <v>Aberta</v>
      </c>
      <c r="B4" s="179" t="s">
        <v>1196</v>
      </c>
      <c r="C4" s="37">
        <v>2</v>
      </c>
      <c r="D4" s="36" t="str">
        <f ca="1">IFERROR(__xludf.DUMMYFUNCTION("""COMPUTED_VALUE"""),"BM27")</f>
        <v>BM27</v>
      </c>
      <c r="E4" s="111" t="str">
        <f ca="1">IFERROR(__xludf.DUMMYFUNCTION("""COMPUTED_VALUE"""),"Biblioteca Afonso Schmidt")</f>
        <v>Biblioteca Afonso Schmidt</v>
      </c>
      <c r="F4" s="111" t="str">
        <f ca="1">IFERROR(__xludf.DUMMYFUNCTION("""COMPUTED_VALUE"""),"Z/N")</f>
        <v>Z/N</v>
      </c>
      <c r="G4" s="39" t="s">
        <v>1202</v>
      </c>
      <c r="H4" s="40" t="s">
        <v>1203</v>
      </c>
      <c r="I4" s="197">
        <v>255255255192</v>
      </c>
      <c r="J4" s="40" t="s">
        <v>1204</v>
      </c>
      <c r="K4" s="41" t="s">
        <v>1205</v>
      </c>
      <c r="L4" s="40" t="s">
        <v>1201</v>
      </c>
      <c r="M4" s="244"/>
    </row>
    <row r="5" spans="1:18" ht="14.25">
      <c r="A5" s="4" t="s">
        <v>164</v>
      </c>
      <c r="B5" s="179" t="s">
        <v>1196</v>
      </c>
      <c r="C5" s="37">
        <v>3</v>
      </c>
      <c r="D5" s="36" t="str">
        <f ca="1">IFERROR(__xludf.DUMMYFUNCTION("""COMPUTED_VALUE"""),"BM10 - ONB")</f>
        <v>BM10 - ONB</v>
      </c>
      <c r="E5" s="111" t="str">
        <f ca="1">IFERROR(__xludf.DUMMYFUNCTION("""COMPUTED_VALUE"""),"Biblioteca Afonso Taunay")</f>
        <v>Biblioteca Afonso Taunay</v>
      </c>
      <c r="F5" s="111" t="str">
        <f ca="1">IFERROR(__xludf.DUMMYFUNCTION("""COMPUTED_VALUE"""),"Z/L")</f>
        <v>Z/L</v>
      </c>
      <c r="G5" s="39" t="s">
        <v>1206</v>
      </c>
      <c r="H5" s="40" t="s">
        <v>1207</v>
      </c>
      <c r="I5" s="197">
        <v>255255255192</v>
      </c>
      <c r="J5" s="40" t="s">
        <v>1208</v>
      </c>
      <c r="K5" s="41" t="s">
        <v>1209</v>
      </c>
      <c r="L5" s="40" t="s">
        <v>1201</v>
      </c>
      <c r="M5" s="42"/>
    </row>
    <row r="6" spans="1:18" ht="14.25">
      <c r="A6" s="4" t="str">
        <f>Geral!A7</f>
        <v>Aberta</v>
      </c>
      <c r="B6" s="179" t="s">
        <v>1196</v>
      </c>
      <c r="C6" s="37">
        <v>4</v>
      </c>
      <c r="D6" s="36" t="str">
        <f ca="1">IFERROR(__xludf.DUMMYFUNCTION("""COMPUTED_VALUE"""),"BM33")</f>
        <v>BM33</v>
      </c>
      <c r="E6" s="111" t="str">
        <f ca="1">IFERROR(__xludf.DUMMYFUNCTION("""COMPUTED_VALUE"""),"Biblioteca Alceu Amoroso Lima")</f>
        <v>Biblioteca Alceu Amoroso Lima</v>
      </c>
      <c r="F6" s="111" t="str">
        <f ca="1">IFERROR(__xludf.DUMMYFUNCTION("""COMPUTED_VALUE"""),"Z/O")</f>
        <v>Z/O</v>
      </c>
      <c r="G6" s="43"/>
      <c r="H6" s="40" t="s">
        <v>1210</v>
      </c>
      <c r="I6" s="197">
        <v>255255255192</v>
      </c>
      <c r="J6" s="40" t="s">
        <v>1211</v>
      </c>
      <c r="K6" s="41" t="s">
        <v>1212</v>
      </c>
      <c r="L6" s="40" t="s">
        <v>1201</v>
      </c>
      <c r="M6" s="42"/>
    </row>
    <row r="7" spans="1:18" ht="14.25">
      <c r="A7" s="4" t="str">
        <f>Geral!A8</f>
        <v>Aberta</v>
      </c>
      <c r="B7" s="179" t="s">
        <v>1196</v>
      </c>
      <c r="C7" s="37">
        <v>5</v>
      </c>
      <c r="D7" s="36" t="str">
        <f ca="1">IFERROR(__xludf.DUMMYFUNCTION("""COMPUTED_VALUE"""),"BM18")</f>
        <v>BM18</v>
      </c>
      <c r="E7" s="111" t="str">
        <f ca="1">IFERROR(__xludf.DUMMYFUNCTION("""COMPUTED_VALUE"""),"Biblioteca Álvares de Azevedo")</f>
        <v>Biblioteca Álvares de Azevedo</v>
      </c>
      <c r="F7" s="111" t="str">
        <f ca="1">IFERROR(__xludf.DUMMYFUNCTION("""COMPUTED_VALUE"""),"Z/N")</f>
        <v>Z/N</v>
      </c>
      <c r="G7" s="39" t="s">
        <v>1213</v>
      </c>
      <c r="H7" s="40" t="s">
        <v>1214</v>
      </c>
      <c r="I7" s="197">
        <v>255255255192</v>
      </c>
      <c r="J7" s="40" t="s">
        <v>1215</v>
      </c>
      <c r="K7" s="41" t="s">
        <v>1216</v>
      </c>
      <c r="L7" s="40" t="s">
        <v>1201</v>
      </c>
      <c r="M7" s="42"/>
    </row>
    <row r="8" spans="1:18" ht="14.25">
      <c r="A8" s="4" t="str">
        <f>Geral!A9</f>
        <v>Aberta</v>
      </c>
      <c r="B8" s="179" t="s">
        <v>1196</v>
      </c>
      <c r="C8" s="37">
        <v>6</v>
      </c>
      <c r="D8" s="36" t="str">
        <f ca="1">IFERROR(__xludf.DUMMYFUNCTION("""COMPUTED_VALUE"""),"BM11")</f>
        <v>BM11</v>
      </c>
      <c r="E8" s="111" t="str">
        <f ca="1">IFERROR(__xludf.DUMMYFUNCTION("""COMPUTED_VALUE"""),"Biblioteca Álvaro Guerra")</f>
        <v>Biblioteca Álvaro Guerra</v>
      </c>
      <c r="F8" s="111" t="str">
        <f ca="1">IFERROR(__xludf.DUMMYFUNCTION("""COMPUTED_VALUE"""),"Z/O")</f>
        <v>Z/O</v>
      </c>
      <c r="G8" s="39" t="s">
        <v>1217</v>
      </c>
      <c r="H8" s="40" t="s">
        <v>1218</v>
      </c>
      <c r="I8" s="197">
        <v>255255255192</v>
      </c>
      <c r="J8" s="40" t="s">
        <v>1219</v>
      </c>
      <c r="K8" s="41" t="s">
        <v>1220</v>
      </c>
      <c r="L8" s="40" t="s">
        <v>1201</v>
      </c>
      <c r="M8" s="42"/>
    </row>
    <row r="9" spans="1:18" ht="14.25">
      <c r="A9" s="4" t="str">
        <f>Geral!A10</f>
        <v>Aberta</v>
      </c>
      <c r="B9" s="179" t="s">
        <v>1196</v>
      </c>
      <c r="C9" s="37">
        <v>7</v>
      </c>
      <c r="D9" s="36" t="str">
        <f ca="1">IFERROR(__xludf.DUMMYFUNCTION("""COMPUTED_VALUE"""),"BM31")</f>
        <v>BM31</v>
      </c>
      <c r="E9" s="111" t="str">
        <f ca="1">IFERROR(__xludf.DUMMYFUNCTION("""COMPUTED_VALUE"""),"Biblioteca Amadeu Amaral")</f>
        <v>Biblioteca Amadeu Amaral</v>
      </c>
      <c r="F9" s="111" t="str">
        <f ca="1">IFERROR(__xludf.DUMMYFUNCTION("""COMPUTED_VALUE"""),"Z/S")</f>
        <v>Z/S</v>
      </c>
      <c r="G9" s="39" t="s">
        <v>1221</v>
      </c>
      <c r="H9" s="40" t="s">
        <v>1222</v>
      </c>
      <c r="I9" s="197">
        <v>255255255192</v>
      </c>
      <c r="J9" s="40" t="s">
        <v>1223</v>
      </c>
      <c r="K9" s="41" t="s">
        <v>1224</v>
      </c>
      <c r="L9" s="40" t="s">
        <v>1201</v>
      </c>
      <c r="M9" s="42"/>
    </row>
    <row r="10" spans="1:18" ht="14.25">
      <c r="A10" s="4" t="str">
        <f>Geral!A11</f>
        <v>Aberta</v>
      </c>
      <c r="B10" s="179" t="s">
        <v>1196</v>
      </c>
      <c r="C10" s="37">
        <v>8</v>
      </c>
      <c r="D10" s="36" t="str">
        <f ca="1">IFERROR(__xludf.DUMMYFUNCTION("""COMPUTED_VALUE"""),"BM01")</f>
        <v>BM01</v>
      </c>
      <c r="E10" s="111" t="str">
        <f ca="1">IFERROR(__xludf.DUMMYFUNCTION("""COMPUTED_VALUE"""),"Biblioteca Anne Frank")</f>
        <v>Biblioteca Anne Frank</v>
      </c>
      <c r="F10" s="111" t="str">
        <f ca="1">IFERROR(__xludf.DUMMYFUNCTION("""COMPUTED_VALUE"""),"Z/O")</f>
        <v>Z/O</v>
      </c>
      <c r="G10" s="39" t="s">
        <v>1225</v>
      </c>
      <c r="H10" s="40" t="s">
        <v>1226</v>
      </c>
      <c r="I10" s="197">
        <v>255255255192</v>
      </c>
      <c r="J10" s="40" t="s">
        <v>1227</v>
      </c>
      <c r="K10" s="41" t="s">
        <v>1228</v>
      </c>
      <c r="L10" s="40" t="s">
        <v>1201</v>
      </c>
      <c r="M10" s="42"/>
    </row>
    <row r="11" spans="1:18" ht="14.25">
      <c r="A11" s="4" t="str">
        <f>Geral!A12</f>
        <v>Aberta</v>
      </c>
      <c r="B11" s="179" t="s">
        <v>1196</v>
      </c>
      <c r="C11" s="37">
        <v>9</v>
      </c>
      <c r="D11" s="36" t="str">
        <f ca="1">IFERROR(__xludf.DUMMYFUNCTION("""COMPUTED_VALUE"""),"BM13")</f>
        <v>BM13</v>
      </c>
      <c r="E11" s="111" t="str">
        <f ca="1">IFERROR(__xludf.DUMMYFUNCTION("""COMPUTED_VALUE"""),"Biblioteca Arnaldo Magalhães Giácomo(Prof.)")</f>
        <v>Biblioteca Arnaldo Magalhães Giácomo(Prof.)</v>
      </c>
      <c r="F11" s="111" t="str">
        <f ca="1">IFERROR(__xludf.DUMMYFUNCTION("""COMPUTED_VALUE"""),"Z/L")</f>
        <v>Z/L</v>
      </c>
      <c r="G11" s="39" t="s">
        <v>1229</v>
      </c>
      <c r="H11" s="40" t="s">
        <v>1230</v>
      </c>
      <c r="I11" s="197">
        <v>255255255192</v>
      </c>
      <c r="J11" s="40" t="s">
        <v>1231</v>
      </c>
      <c r="K11" s="41" t="s">
        <v>1232</v>
      </c>
      <c r="L11" s="40" t="s">
        <v>1201</v>
      </c>
      <c r="M11" s="42"/>
    </row>
    <row r="12" spans="1:18" ht="14.25">
      <c r="A12" s="4" t="str">
        <f>Geral!A13</f>
        <v>Aberta</v>
      </c>
      <c r="B12" s="179" t="s">
        <v>1196</v>
      </c>
      <c r="C12" s="37">
        <v>10</v>
      </c>
      <c r="D12" s="36" t="str">
        <f ca="1">IFERROR(__xludf.DUMMYFUNCTION("""COMPUTED_VALUE"""),"BM53")</f>
        <v>BM53</v>
      </c>
      <c r="E12" s="111" t="str">
        <f ca="1">IFERROR(__xludf.DUMMYFUNCTION("""COMPUTED_VALUE"""),"Biblioteca  Aureliano Leite")</f>
        <v>Biblioteca  Aureliano Leite</v>
      </c>
      <c r="F12" s="111" t="str">
        <f ca="1">IFERROR(__xludf.DUMMYFUNCTION("""COMPUTED_VALUE"""),"Z/L")</f>
        <v>Z/L</v>
      </c>
      <c r="G12" s="39" t="s">
        <v>1233</v>
      </c>
      <c r="H12" s="40" t="s">
        <v>1234</v>
      </c>
      <c r="I12" s="197">
        <v>255255255192</v>
      </c>
      <c r="J12" s="40" t="s">
        <v>1235</v>
      </c>
      <c r="K12" s="41" t="s">
        <v>1236</v>
      </c>
      <c r="L12" s="331" t="s">
        <v>1201</v>
      </c>
      <c r="M12" s="42"/>
    </row>
    <row r="13" spans="1:18" ht="14.25">
      <c r="A13" s="4" t="s">
        <v>164</v>
      </c>
      <c r="B13" s="329" t="s">
        <v>1196</v>
      </c>
      <c r="C13" s="37">
        <v>11</v>
      </c>
      <c r="D13" s="36" t="str">
        <f ca="1">IFERROR(__xludf.DUMMYFUNCTION("""COMPUTED_VALUE"""),"BM06")</f>
        <v>BM06</v>
      </c>
      <c r="E13" s="111" t="str">
        <f ca="1">IFERROR(__xludf.DUMMYFUNCTION("""COMPUTED_VALUE"""),"Biblioteca Belmonte")</f>
        <v>Biblioteca Belmonte</v>
      </c>
      <c r="F13" s="111" t="str">
        <f ca="1">IFERROR(__xludf.DUMMYFUNCTION("""COMPUTED_VALUE"""),"Z/S")</f>
        <v>Z/S</v>
      </c>
      <c r="G13" s="43"/>
      <c r="H13" s="330" t="s">
        <v>1237</v>
      </c>
      <c r="I13" s="197">
        <v>255255255192</v>
      </c>
      <c r="J13" s="330" t="s">
        <v>1238</v>
      </c>
      <c r="K13" s="330" t="s">
        <v>1239</v>
      </c>
      <c r="L13" s="40" t="s">
        <v>1201</v>
      </c>
      <c r="M13" s="387"/>
      <c r="N13" s="388"/>
      <c r="O13" s="388"/>
      <c r="P13" s="388"/>
      <c r="Q13" s="388"/>
      <c r="R13" s="42"/>
    </row>
    <row r="14" spans="1:18" ht="14.25">
      <c r="A14" s="4" t="str">
        <f>Geral!A15</f>
        <v>Aberta</v>
      </c>
      <c r="B14" s="179" t="s">
        <v>1196</v>
      </c>
      <c r="C14" s="37">
        <v>12</v>
      </c>
      <c r="D14" s="36" t="str">
        <f ca="1">IFERROR(__xludf.DUMMYFUNCTION("""COMPUTED_VALUE"""),"BM23")</f>
        <v>BM23</v>
      </c>
      <c r="E14" s="111" t="str">
        <f ca="1">IFERROR(__xludf.DUMMYFUNCTION("""COMPUTED_VALUE"""),"Biblioteca Brito Broca")</f>
        <v>Biblioteca Brito Broca</v>
      </c>
      <c r="F14" s="111" t="str">
        <f ca="1">IFERROR(__xludf.DUMMYFUNCTION("""COMPUTED_VALUE"""),"Z/N")</f>
        <v>Z/N</v>
      </c>
      <c r="G14" s="39" t="s">
        <v>1240</v>
      </c>
      <c r="H14" s="40" t="s">
        <v>1241</v>
      </c>
      <c r="I14" s="197">
        <v>255255255192</v>
      </c>
      <c r="J14" s="40" t="s">
        <v>1242</v>
      </c>
      <c r="K14" s="41" t="s">
        <v>1243</v>
      </c>
      <c r="L14" s="332" t="s">
        <v>1201</v>
      </c>
      <c r="M14" s="42"/>
    </row>
    <row r="15" spans="1:18" ht="14.25">
      <c r="A15" s="4" t="str">
        <f>Geral!A16</f>
        <v>Aberta</v>
      </c>
      <c r="B15" s="179" t="s">
        <v>1196</v>
      </c>
      <c r="C15" s="37">
        <v>13</v>
      </c>
      <c r="D15" s="36" t="str">
        <f ca="1">IFERROR(__xludf.DUMMYFUNCTION("""COMPUTED_VALUE"""),"BM45")</f>
        <v>BM45</v>
      </c>
      <c r="E15" s="111" t="str">
        <f ca="1">IFERROR(__xludf.DUMMYFUNCTION("""COMPUTED_VALUE"""),"Biblioteca Camila Cerqueira César")</f>
        <v>Biblioteca Camila Cerqueira César</v>
      </c>
      <c r="F15" s="111" t="str">
        <f ca="1">IFERROR(__xludf.DUMMYFUNCTION("""COMPUTED_VALUE"""),"Z/O")</f>
        <v>Z/O</v>
      </c>
      <c r="G15" s="39" t="s">
        <v>1244</v>
      </c>
      <c r="H15" s="40" t="s">
        <v>1245</v>
      </c>
      <c r="I15" s="197">
        <v>255255255192</v>
      </c>
      <c r="J15" s="40" t="s">
        <v>1246</v>
      </c>
      <c r="K15" s="41" t="s">
        <v>1247</v>
      </c>
      <c r="L15" s="40" t="s">
        <v>1201</v>
      </c>
      <c r="M15" s="42"/>
    </row>
    <row r="16" spans="1:18" ht="14.25">
      <c r="A16" s="4" t="str">
        <f>Geral!A17</f>
        <v>Aberta</v>
      </c>
      <c r="B16" s="179" t="s">
        <v>1196</v>
      </c>
      <c r="C16" s="37">
        <v>14</v>
      </c>
      <c r="D16" s="36" t="str">
        <f ca="1">IFERROR(__xludf.DUMMYFUNCTION("""COMPUTED_VALUE"""),"BM02")</f>
        <v>BM02</v>
      </c>
      <c r="E16" s="111" t="str">
        <f ca="1">IFERROR(__xludf.DUMMYFUNCTION("""COMPUTED_VALUE"""),"Biblioteca Cassiano Ricardo")</f>
        <v>Biblioteca Cassiano Ricardo</v>
      </c>
      <c r="F16" s="111" t="str">
        <f ca="1">IFERROR(__xludf.DUMMYFUNCTION("""COMPUTED_VALUE"""),"Z/L")</f>
        <v>Z/L</v>
      </c>
      <c r="G16" s="39" t="s">
        <v>1248</v>
      </c>
      <c r="H16" s="40" t="s">
        <v>1249</v>
      </c>
      <c r="I16" s="197">
        <v>255255255192</v>
      </c>
      <c r="J16" s="40" t="s">
        <v>1250</v>
      </c>
      <c r="K16" s="41" t="s">
        <v>1251</v>
      </c>
      <c r="L16" s="40" t="s">
        <v>1201</v>
      </c>
      <c r="M16" s="42"/>
    </row>
    <row r="17" spans="1:13" ht="14.25">
      <c r="A17" s="4" t="str">
        <f>Geral!A18</f>
        <v>Aberta</v>
      </c>
      <c r="B17" s="179" t="s">
        <v>1196</v>
      </c>
      <c r="C17" s="37">
        <v>15</v>
      </c>
      <c r="D17" s="36" t="str">
        <f ca="1">IFERROR(__xludf.DUMMYFUNCTION("""COMPUTED_VALUE"""),"BM46")</f>
        <v>BM46</v>
      </c>
      <c r="E17" s="111" t="str">
        <f ca="1">IFERROR(__xludf.DUMMYFUNCTION("""COMPUTED_VALUE"""),"Biblioteca Castro Alves")</f>
        <v>Biblioteca Castro Alves</v>
      </c>
      <c r="F17" s="111" t="str">
        <f ca="1">IFERROR(__xludf.DUMMYFUNCTION("""COMPUTED_VALUE"""),"Z/S")</f>
        <v>Z/S</v>
      </c>
      <c r="G17" s="39" t="s">
        <v>1252</v>
      </c>
      <c r="H17" s="40" t="s">
        <v>1253</v>
      </c>
      <c r="I17" s="197">
        <v>255255255192</v>
      </c>
      <c r="J17" s="40" t="s">
        <v>1254</v>
      </c>
      <c r="K17" s="41" t="s">
        <v>1255</v>
      </c>
      <c r="L17" s="40" t="s">
        <v>1201</v>
      </c>
      <c r="M17" s="42"/>
    </row>
    <row r="18" spans="1:13" ht="14.25">
      <c r="A18" s="4" t="str">
        <f>Geral!A19</f>
        <v xml:space="preserve">Fechada </v>
      </c>
      <c r="B18" s="243" t="s">
        <v>1256</v>
      </c>
      <c r="C18" s="37">
        <v>16</v>
      </c>
      <c r="D18" s="36" t="str">
        <f ca="1">IFERROR(__xludf.DUMMYFUNCTION("""COMPUTED_VALUE"""),"BM15")</f>
        <v>BM15</v>
      </c>
      <c r="E18" s="111" t="str">
        <f ca="1">IFERROR(__xludf.DUMMYFUNCTION("""COMPUTED_VALUE"""),"Biblioteca Chácara do Castelo")</f>
        <v>Biblioteca Chácara do Castelo</v>
      </c>
      <c r="F18" s="111" t="str">
        <f ca="1">IFERROR(__xludf.DUMMYFUNCTION("""COMPUTED_VALUE"""),"Z/S")</f>
        <v>Z/S</v>
      </c>
      <c r="G18" s="39" t="s">
        <v>1257</v>
      </c>
      <c r="H18" s="383" t="s">
        <v>1258</v>
      </c>
      <c r="I18" s="384"/>
      <c r="J18" s="384"/>
      <c r="K18" s="384"/>
      <c r="L18" s="385"/>
      <c r="M18" s="42"/>
    </row>
    <row r="19" spans="1:13" ht="14.25">
      <c r="A19" s="4" t="str">
        <f>Geral!A20</f>
        <v>Aberta</v>
      </c>
      <c r="B19" s="179" t="s">
        <v>1196</v>
      </c>
      <c r="C19" s="37">
        <v>17</v>
      </c>
      <c r="D19" s="36" t="str">
        <f ca="1">IFERROR(__xludf.DUMMYFUNCTION("""COMPUTED_VALUE"""),"BM16")</f>
        <v>BM16</v>
      </c>
      <c r="E19" s="111" t="str">
        <f ca="1">IFERROR(__xludf.DUMMYFUNCTION("""COMPUTED_VALUE"""),"Biblioteca Clarice Lispector")</f>
        <v>Biblioteca Clarice Lispector</v>
      </c>
      <c r="F19" s="111" t="str">
        <f ca="1">IFERROR(__xludf.DUMMYFUNCTION("""COMPUTED_VALUE"""),"Z/O")</f>
        <v>Z/O</v>
      </c>
      <c r="G19" s="39" t="s">
        <v>1259</v>
      </c>
      <c r="H19" s="40" t="s">
        <v>1260</v>
      </c>
      <c r="I19" s="197">
        <v>255255255192</v>
      </c>
      <c r="J19" s="40" t="s">
        <v>1261</v>
      </c>
      <c r="K19" s="41" t="s">
        <v>1262</v>
      </c>
      <c r="L19" s="40" t="s">
        <v>1201</v>
      </c>
      <c r="M19" s="42"/>
    </row>
    <row r="20" spans="1:13" ht="14.25">
      <c r="A20" s="4" t="str">
        <f>Geral!A21</f>
        <v>Aberta</v>
      </c>
      <c r="B20" s="179" t="s">
        <v>1196</v>
      </c>
      <c r="C20" s="37">
        <v>18</v>
      </c>
      <c r="D20" s="36" t="str">
        <f ca="1">IFERROR(__xludf.DUMMYFUNCTION("""COMPUTED_VALUE"""),"BM29")</f>
        <v>BM29</v>
      </c>
      <c r="E20" s="111" t="str">
        <f ca="1">IFERROR(__xludf.DUMMYFUNCTION("""COMPUTED_VALUE"""),"Biblioteca Cora Coralina")</f>
        <v>Biblioteca Cora Coralina</v>
      </c>
      <c r="F20" s="111" t="str">
        <f ca="1">IFERROR(__xludf.DUMMYFUNCTION("""COMPUTED_VALUE"""),"Z/L")</f>
        <v>Z/L</v>
      </c>
      <c r="G20" s="39" t="s">
        <v>1263</v>
      </c>
      <c r="H20" s="40" t="s">
        <v>1264</v>
      </c>
      <c r="I20" s="197">
        <v>255255255192</v>
      </c>
      <c r="J20" s="40" t="s">
        <v>1265</v>
      </c>
      <c r="K20" s="41" t="s">
        <v>1266</v>
      </c>
      <c r="L20" s="40" t="s">
        <v>1201</v>
      </c>
      <c r="M20" s="42"/>
    </row>
    <row r="21" spans="1:13" ht="14.25">
      <c r="A21" s="4" t="str">
        <f>Geral!A22</f>
        <v>Aberta</v>
      </c>
      <c r="B21" s="179" t="s">
        <v>1196</v>
      </c>
      <c r="C21" s="37">
        <v>19</v>
      </c>
      <c r="D21" s="36" t="str">
        <f ca="1">IFERROR(__xludf.DUMMYFUNCTION("""COMPUTED_VALUE"""),"BM03")</f>
        <v>BM03</v>
      </c>
      <c r="E21" s="111" t="str">
        <f ca="1">IFERROR(__xludf.DUMMYFUNCTION("""COMPUTED_VALUE"""),"Biblioteca Érico Veríssimo")</f>
        <v>Biblioteca Érico Veríssimo</v>
      </c>
      <c r="F21" s="111" t="str">
        <f ca="1">IFERROR(__xludf.DUMMYFUNCTION("""COMPUTED_VALUE"""),"Z/N")</f>
        <v>Z/N</v>
      </c>
      <c r="G21" s="43"/>
      <c r="H21" s="40" t="s">
        <v>1267</v>
      </c>
      <c r="I21" s="197">
        <v>255255255192</v>
      </c>
      <c r="J21" s="40" t="s">
        <v>1268</v>
      </c>
      <c r="K21" s="41" t="s">
        <v>1269</v>
      </c>
      <c r="L21" s="40" t="s">
        <v>1201</v>
      </c>
      <c r="M21" s="44"/>
    </row>
    <row r="22" spans="1:13" ht="14.25">
      <c r="A22" s="4" t="str">
        <f>Geral!A23</f>
        <v>Aberta</v>
      </c>
      <c r="B22" s="179" t="s">
        <v>1196</v>
      </c>
      <c r="C22" s="37">
        <v>20</v>
      </c>
      <c r="D22" s="36" t="str">
        <f ca="1">IFERROR(__xludf.DUMMYFUNCTION("""COMPUTED_VALUE"""),"BM43")</f>
        <v>BM43</v>
      </c>
      <c r="E22" s="111" t="str">
        <f ca="1">IFERROR(__xludf.DUMMYFUNCTION("""COMPUTED_VALUE"""),"Biblioteca Gilberto Freire")</f>
        <v>Biblioteca Gilberto Freire</v>
      </c>
      <c r="F22" s="111" t="str">
        <f ca="1">IFERROR(__xludf.DUMMYFUNCTION("""COMPUTED_VALUE"""),"Z/L")</f>
        <v>Z/L</v>
      </c>
      <c r="G22" s="43"/>
      <c r="H22" s="40" t="s">
        <v>1270</v>
      </c>
      <c r="I22" s="197">
        <v>255255255192</v>
      </c>
      <c r="J22" s="40" t="s">
        <v>1271</v>
      </c>
      <c r="K22" s="41" t="s">
        <v>1272</v>
      </c>
      <c r="L22" s="40" t="s">
        <v>1201</v>
      </c>
      <c r="M22" s="42"/>
    </row>
    <row r="23" spans="1:13" ht="14.25">
      <c r="A23" s="4" t="str">
        <f>Geral!A24</f>
        <v>Aberta</v>
      </c>
      <c r="B23" s="179" t="s">
        <v>1196</v>
      </c>
      <c r="C23" s="37">
        <v>21</v>
      </c>
      <c r="D23" s="36" t="str">
        <f ca="1">IFERROR(__xludf.DUMMYFUNCTION("""COMPUTED_VALUE"""),"BM04")</f>
        <v>BM04</v>
      </c>
      <c r="E23" s="111" t="str">
        <f ca="1">IFERROR(__xludf.DUMMYFUNCTION("""COMPUTED_VALUE"""),"Biblioteca Hans Christian Andersen")</f>
        <v>Biblioteca Hans Christian Andersen</v>
      </c>
      <c r="F23" s="111" t="str">
        <f ca="1">IFERROR(__xludf.DUMMYFUNCTION("""COMPUTED_VALUE"""),"Z/L")</f>
        <v>Z/L</v>
      </c>
      <c r="G23" s="39" t="s">
        <v>1273</v>
      </c>
      <c r="H23" s="40" t="s">
        <v>1274</v>
      </c>
      <c r="I23" s="197">
        <v>255255255192</v>
      </c>
      <c r="J23" s="40" t="s">
        <v>1275</v>
      </c>
      <c r="K23" s="41" t="s">
        <v>1276</v>
      </c>
      <c r="L23" s="40" t="s">
        <v>1201</v>
      </c>
      <c r="M23" s="42"/>
    </row>
    <row r="24" spans="1:13" ht="14.25">
      <c r="A24" s="4" t="str">
        <f>Geral!A25</f>
        <v>Aberta</v>
      </c>
      <c r="B24" s="179" t="s">
        <v>1196</v>
      </c>
      <c r="C24" s="37">
        <v>22</v>
      </c>
      <c r="D24" s="36" t="str">
        <f ca="1">IFERROR(__xludf.DUMMYFUNCTION("""COMPUTED_VALUE"""),"BM44")</f>
        <v>BM44</v>
      </c>
      <c r="E24" s="111" t="str">
        <f ca="1">IFERROR(__xludf.DUMMYFUNCTION("""COMPUTED_VALUE"""),"Biblioteca Helena Silveira")</f>
        <v>Biblioteca Helena Silveira</v>
      </c>
      <c r="F24" s="111" t="str">
        <f ca="1">IFERROR(__xludf.DUMMYFUNCTION("""COMPUTED_VALUE"""),"Z/S")</f>
        <v>Z/S</v>
      </c>
      <c r="G24" s="43"/>
      <c r="H24" s="40" t="s">
        <v>1277</v>
      </c>
      <c r="I24" s="197">
        <v>255255255192</v>
      </c>
      <c r="J24" s="40" t="s">
        <v>1278</v>
      </c>
      <c r="K24" s="13" t="s">
        <v>1279</v>
      </c>
      <c r="L24" s="40" t="s">
        <v>1201</v>
      </c>
      <c r="M24" s="42"/>
    </row>
    <row r="25" spans="1:13" ht="14.25">
      <c r="A25" s="4" t="str">
        <f>Geral!A26</f>
        <v>Aberta</v>
      </c>
      <c r="B25" s="179" t="s">
        <v>1196</v>
      </c>
      <c r="C25" s="37">
        <v>23</v>
      </c>
      <c r="D25" s="36" t="str">
        <f ca="1">IFERROR(__xludf.DUMMYFUNCTION("""COMPUTED_VALUE"""),"BM50")</f>
        <v>BM50</v>
      </c>
      <c r="E25" s="111" t="str">
        <f ca="1">IFERROR(__xludf.DUMMYFUNCTION("""COMPUTED_VALUE"""),"Biblioteca Jamil Almansur Haddad")</f>
        <v>Biblioteca Jamil Almansur Haddad</v>
      </c>
      <c r="F25" s="111" t="str">
        <f ca="1">IFERROR(__xludf.DUMMYFUNCTION("""COMPUTED_VALUE"""),"Z/L")</f>
        <v>Z/L</v>
      </c>
      <c r="G25" s="39" t="s">
        <v>1280</v>
      </c>
      <c r="H25" s="40" t="s">
        <v>1281</v>
      </c>
      <c r="I25" s="197">
        <v>255255255192</v>
      </c>
      <c r="J25" s="40" t="s">
        <v>1282</v>
      </c>
      <c r="K25" s="41" t="s">
        <v>1283</v>
      </c>
      <c r="L25" s="40" t="s">
        <v>1201</v>
      </c>
      <c r="M25" s="42"/>
    </row>
    <row r="26" spans="1:13" ht="14.25" customHeight="1">
      <c r="A26" s="4" t="str">
        <f>Geral!A27</f>
        <v>Aberta</v>
      </c>
      <c r="B26" s="179" t="s">
        <v>1196</v>
      </c>
      <c r="C26" s="37">
        <v>24</v>
      </c>
      <c r="D26" s="36" t="str">
        <f ca="1">IFERROR(__xludf.DUMMYFUNCTION("""COMPUTED_VALUE"""),"CCJ")</f>
        <v>CCJ</v>
      </c>
      <c r="E26" s="111" t="str">
        <f ca="1">IFERROR(__xludf.DUMMYFUNCTION("""COMPUTED_VALUE"""),"Biblioteca Jayme Cortez")</f>
        <v>Biblioteca Jayme Cortez</v>
      </c>
      <c r="F26" s="111" t="str">
        <f ca="1">IFERROR(__xludf.DUMMYFUNCTION("""COMPUTED_VALUE"""),"Z/N")</f>
        <v>Z/N</v>
      </c>
      <c r="G26" s="39" t="s">
        <v>1284</v>
      </c>
      <c r="H26" s="223" t="s">
        <v>1285</v>
      </c>
      <c r="I26" s="197">
        <v>255255255192</v>
      </c>
      <c r="J26" s="40" t="s">
        <v>1286</v>
      </c>
      <c r="K26" s="41" t="s">
        <v>1287</v>
      </c>
      <c r="L26" s="40" t="s">
        <v>1288</v>
      </c>
      <c r="M26" s="42"/>
    </row>
    <row r="27" spans="1:13" ht="14.25">
      <c r="A27" s="4" t="str">
        <f>Geral!A28</f>
        <v>Aberta</v>
      </c>
      <c r="B27" s="179" t="s">
        <v>1196</v>
      </c>
      <c r="C27" s="37">
        <v>25</v>
      </c>
      <c r="D27" s="36" t="str">
        <f ca="1">IFERROR(__xludf.DUMMYFUNCTION("""COMPUTED_VALUE"""),"BM51")</f>
        <v>BM51</v>
      </c>
      <c r="E27" s="111" t="str">
        <f ca="1">IFERROR(__xludf.DUMMYFUNCTION("""COMPUTED_VALUE"""),"Biblioteca José Mauro Vasconcelos")</f>
        <v>Biblioteca José Mauro Vasconcelos</v>
      </c>
      <c r="F27" s="111" t="str">
        <f ca="1">IFERROR(__xludf.DUMMYFUNCTION("""COMPUTED_VALUE"""),"Z/N")</f>
        <v>Z/N</v>
      </c>
      <c r="G27" s="45"/>
      <c r="H27" s="40" t="s">
        <v>1289</v>
      </c>
      <c r="I27" s="197">
        <v>255255255192</v>
      </c>
      <c r="J27" s="40" t="s">
        <v>1290</v>
      </c>
      <c r="K27" s="41" t="s">
        <v>1291</v>
      </c>
      <c r="L27" s="40" t="s">
        <v>1201</v>
      </c>
      <c r="M27" s="42"/>
    </row>
    <row r="28" spans="1:13" ht="14.25">
      <c r="A28" s="4" t="str">
        <f>Geral!A29</f>
        <v>Aberta</v>
      </c>
      <c r="B28" s="179" t="s">
        <v>1196</v>
      </c>
      <c r="C28" s="37">
        <v>26</v>
      </c>
      <c r="D28" s="36" t="str">
        <f ca="1">IFERROR(__xludf.DUMMYFUNCTION("""COMPUTED_VALUE"""),"BM32")</f>
        <v>BM32</v>
      </c>
      <c r="E28" s="111" t="str">
        <f ca="1">IFERROR(__xludf.DUMMYFUNCTION("""COMPUTED_VALUE"""),"Biblioteca José Paulo Paes")</f>
        <v>Biblioteca José Paulo Paes</v>
      </c>
      <c r="F28" s="111" t="str">
        <f ca="1">IFERROR(__xludf.DUMMYFUNCTION("""COMPUTED_VALUE"""),"Z/L")</f>
        <v>Z/L</v>
      </c>
      <c r="G28" s="39" t="s">
        <v>1292</v>
      </c>
      <c r="H28" s="40" t="s">
        <v>1293</v>
      </c>
      <c r="I28" s="197">
        <v>255255255192</v>
      </c>
      <c r="J28" s="40" t="s">
        <v>1294</v>
      </c>
      <c r="K28" s="41" t="s">
        <v>1295</v>
      </c>
      <c r="L28" s="40" t="s">
        <v>1201</v>
      </c>
      <c r="M28" s="42"/>
    </row>
    <row r="29" spans="1:13" ht="14.25">
      <c r="A29" s="4" t="str">
        <f>Geral!A30</f>
        <v>Aberta</v>
      </c>
      <c r="B29" s="179" t="s">
        <v>1196</v>
      </c>
      <c r="C29" s="37">
        <v>27</v>
      </c>
      <c r="D29" s="36" t="str">
        <f ca="1">IFERROR(__xludf.DUMMYFUNCTION("""COMPUTED_VALUE"""),"BM37")</f>
        <v>BM37</v>
      </c>
      <c r="E29" s="111" t="str">
        <f ca="1">IFERROR(__xludf.DUMMYFUNCTION("""COMPUTED_VALUE"""),"Biblioteca Jovina Rocha Álvares Pessoa")</f>
        <v>Biblioteca Jovina Rocha Álvares Pessoa</v>
      </c>
      <c r="F29" s="111" t="str">
        <f ca="1">IFERROR(__xludf.DUMMYFUNCTION("""COMPUTED_VALUE"""),"Z/L")</f>
        <v>Z/L</v>
      </c>
      <c r="G29" s="39" t="s">
        <v>1296</v>
      </c>
      <c r="H29" s="40" t="s">
        <v>1297</v>
      </c>
      <c r="I29" s="197">
        <v>255255255192</v>
      </c>
      <c r="J29" s="40" t="s">
        <v>1298</v>
      </c>
      <c r="K29" s="41" t="s">
        <v>1299</v>
      </c>
      <c r="L29" s="40" t="s">
        <v>1201</v>
      </c>
      <c r="M29" s="42"/>
    </row>
    <row r="30" spans="1:13" ht="14.25">
      <c r="A30" s="4" t="str">
        <f>Geral!A31</f>
        <v>Aberta</v>
      </c>
      <c r="B30" s="179" t="s">
        <v>1196</v>
      </c>
      <c r="C30" s="37">
        <v>28</v>
      </c>
      <c r="D30" s="36" t="str">
        <f ca="1">IFERROR(__xludf.DUMMYFUNCTION("""COMPUTED_VALUE"""),"BM17")</f>
        <v>BM17</v>
      </c>
      <c r="E30" s="111" t="str">
        <f ca="1">IFERROR(__xludf.DUMMYFUNCTION("""COMPUTED_VALUE"""),"Biblioteca Lenyra Fraccaroli")</f>
        <v>Biblioteca Lenyra Fraccaroli</v>
      </c>
      <c r="F30" s="111" t="str">
        <f ca="1">IFERROR(__xludf.DUMMYFUNCTION("""COMPUTED_VALUE"""),"Z/L")</f>
        <v>Z/L</v>
      </c>
      <c r="G30" s="39" t="s">
        <v>1300</v>
      </c>
      <c r="H30" s="40" t="s">
        <v>1301</v>
      </c>
      <c r="I30" s="197">
        <v>255255255192</v>
      </c>
      <c r="J30" s="40" t="s">
        <v>1302</v>
      </c>
      <c r="K30" s="41" t="s">
        <v>1303</v>
      </c>
      <c r="L30" s="40" t="s">
        <v>1201</v>
      </c>
      <c r="M30" s="42"/>
    </row>
    <row r="31" spans="1:13" ht="14.25">
      <c r="A31" s="4" t="str">
        <f>Geral!A32</f>
        <v>Aberta</v>
      </c>
      <c r="B31" s="179" t="s">
        <v>1196</v>
      </c>
      <c r="C31" s="37">
        <v>29</v>
      </c>
      <c r="D31" s="36" t="str">
        <f ca="1">IFERROR(__xludf.DUMMYFUNCTION("""COMPUTED_VALUE"""),"BM42")</f>
        <v>BM42</v>
      </c>
      <c r="E31" s="111" t="str">
        <f ca="1">IFERROR(__xludf.DUMMYFUNCTION("""COMPUTED_VALUE"""),"Biblioteca Malba Tahan")</f>
        <v>Biblioteca Malba Tahan</v>
      </c>
      <c r="F31" s="111" t="str">
        <f ca="1">IFERROR(__xludf.DUMMYFUNCTION("""COMPUTED_VALUE"""),"Z/S")</f>
        <v>Z/S</v>
      </c>
      <c r="G31" s="43"/>
      <c r="H31" s="40" t="s">
        <v>1304</v>
      </c>
      <c r="I31" s="197">
        <v>255255255192</v>
      </c>
      <c r="J31" s="40" t="s">
        <v>1305</v>
      </c>
      <c r="K31" s="41" t="s">
        <v>1306</v>
      </c>
      <c r="L31" s="40" t="s">
        <v>1201</v>
      </c>
      <c r="M31" s="42"/>
    </row>
    <row r="32" spans="1:13" ht="14.25">
      <c r="A32" s="4" t="str">
        <f>Geral!A33</f>
        <v>Aberta</v>
      </c>
      <c r="B32" s="179" t="s">
        <v>1196</v>
      </c>
      <c r="C32" s="37">
        <v>30</v>
      </c>
      <c r="D32" s="36" t="str">
        <f ca="1">IFERROR(__xludf.DUMMYFUNCTION("""COMPUTED_VALUE"""),"BM38")</f>
        <v>BM38</v>
      </c>
      <c r="E32" s="111" t="str">
        <f ca="1">IFERROR(__xludf.DUMMYFUNCTION("""COMPUTED_VALUE"""),"Biblioteca Marcos Rey")</f>
        <v>Biblioteca Marcos Rey</v>
      </c>
      <c r="F32" s="111" t="str">
        <f ca="1">IFERROR(__xludf.DUMMYFUNCTION("""COMPUTED_VALUE"""),"Z/S")</f>
        <v>Z/S</v>
      </c>
      <c r="G32" s="39" t="s">
        <v>1307</v>
      </c>
      <c r="H32" s="40" t="s">
        <v>1308</v>
      </c>
      <c r="I32" s="197">
        <v>255255255192</v>
      </c>
      <c r="J32" s="40" t="s">
        <v>1309</v>
      </c>
      <c r="K32" s="41" t="s">
        <v>1310</v>
      </c>
      <c r="L32" s="40" t="s">
        <v>1201</v>
      </c>
      <c r="M32" s="42"/>
    </row>
    <row r="33" spans="1:13" ht="14.25">
      <c r="A33" s="4" t="str">
        <f>Geral!A34</f>
        <v>Aberta</v>
      </c>
      <c r="B33" s="179" t="s">
        <v>1196</v>
      </c>
      <c r="C33" s="37">
        <v>31</v>
      </c>
      <c r="D33" s="36" t="str">
        <f ca="1">IFERROR(__xludf.DUMMYFUNCTION("""COMPUTED_VALUE"""),"BM08")</f>
        <v>BM08</v>
      </c>
      <c r="E33" s="111" t="str">
        <f ca="1">IFERROR(__xludf.DUMMYFUNCTION("""COMPUTED_VALUE"""),"Biblioteca Mário Schenberg")</f>
        <v>Biblioteca Mário Schenberg</v>
      </c>
      <c r="F33" s="111" t="str">
        <f ca="1">IFERROR(__xludf.DUMMYFUNCTION("""COMPUTED_VALUE"""),"Z/O")</f>
        <v>Z/O</v>
      </c>
      <c r="G33" s="39" t="s">
        <v>1311</v>
      </c>
      <c r="H33" s="40" t="s">
        <v>1312</v>
      </c>
      <c r="I33" s="197">
        <v>255255255192</v>
      </c>
      <c r="J33" s="40" t="s">
        <v>1313</v>
      </c>
      <c r="K33" s="41" t="s">
        <v>1314</v>
      </c>
      <c r="L33" s="40" t="s">
        <v>1288</v>
      </c>
      <c r="M33" s="42"/>
    </row>
    <row r="34" spans="1:13" ht="14.25">
      <c r="A34" s="4" t="str">
        <f>Geral!A35</f>
        <v>Aberta</v>
      </c>
      <c r="B34" s="179" t="s">
        <v>1196</v>
      </c>
      <c r="C34" s="37">
        <v>32</v>
      </c>
      <c r="D34" s="36" t="str">
        <f ca="1">IFERROR(__xludf.DUMMYFUNCTION("""COMPUTED_VALUE"""),"BM52")</f>
        <v>BM52</v>
      </c>
      <c r="E34" s="111" t="str">
        <f ca="1">IFERROR(__xludf.DUMMYFUNCTION("""COMPUTED_VALUE"""),"Biblioteca Menotti Del Picchia")</f>
        <v>Biblioteca Menotti Del Picchia</v>
      </c>
      <c r="F34" s="111" t="str">
        <f ca="1">IFERROR(__xludf.DUMMYFUNCTION("""COMPUTED_VALUE"""),"Z/N")</f>
        <v>Z/N</v>
      </c>
      <c r="G34" s="43"/>
      <c r="H34" s="40" t="s">
        <v>1315</v>
      </c>
      <c r="I34" s="197">
        <v>255255255192</v>
      </c>
      <c r="J34" s="40" t="s">
        <v>1316</v>
      </c>
      <c r="K34" s="41" t="s">
        <v>1317</v>
      </c>
      <c r="L34" s="40" t="s">
        <v>1201</v>
      </c>
      <c r="M34" s="42"/>
    </row>
    <row r="35" spans="1:13" ht="14.25">
      <c r="A35" s="4" t="str">
        <f>Geral!A36</f>
        <v>Aberta</v>
      </c>
      <c r="B35" s="179" t="s">
        <v>1196</v>
      </c>
      <c r="C35" s="37">
        <v>33</v>
      </c>
      <c r="D35" s="36" t="str">
        <f ca="1">IFERROR(__xludf.DUMMYFUNCTION("""COMPUTED_VALUE"""),"BM54")</f>
        <v>BM54</v>
      </c>
      <c r="E35" s="111" t="str">
        <f ca="1">IFERROR(__xludf.DUMMYFUNCTION("""COMPUTED_VALUE"""),"Bibilioteca Milton Santos")</f>
        <v>Bibilioteca Milton Santos</v>
      </c>
      <c r="F35" s="111" t="str">
        <f ca="1">IFERROR(__xludf.DUMMYFUNCTION("""COMPUTED_VALUE"""),"Z/L")</f>
        <v>Z/L</v>
      </c>
      <c r="G35" s="39" t="s">
        <v>1318</v>
      </c>
      <c r="H35" s="41" t="s">
        <v>1319</v>
      </c>
      <c r="I35" s="197">
        <v>255255255192</v>
      </c>
      <c r="J35" s="41" t="s">
        <v>1320</v>
      </c>
      <c r="K35" s="41" t="s">
        <v>1321</v>
      </c>
      <c r="L35" s="40" t="s">
        <v>1201</v>
      </c>
      <c r="M35" s="42"/>
    </row>
    <row r="36" spans="1:13" ht="14.25">
      <c r="A36" s="4" t="str">
        <f>Geral!A37</f>
        <v>Aberta</v>
      </c>
      <c r="B36" s="179" t="s">
        <v>1196</v>
      </c>
      <c r="C36" s="37">
        <v>34</v>
      </c>
      <c r="D36" s="36" t="str">
        <f ca="1">IFERROR(__xludf.DUMMYFUNCTION("""COMPUTED_VALUE"""),"BM52")</f>
        <v>BM52</v>
      </c>
      <c r="E36" s="111" t="str">
        <f ca="1">IFERROR(__xludf.DUMMYFUNCTION("""COMPUTED_VALUE"""),"Biblioteca Monteiro Lobato")</f>
        <v>Biblioteca Monteiro Lobato</v>
      </c>
      <c r="F36" s="111" t="str">
        <f ca="1">IFERROR(__xludf.DUMMYFUNCTION("""COMPUTED_VALUE"""),"CENTRO")</f>
        <v>CENTRO</v>
      </c>
      <c r="G36" s="39" t="s">
        <v>1322</v>
      </c>
      <c r="H36" s="46" t="s">
        <v>1323</v>
      </c>
      <c r="I36" s="46" t="s">
        <v>1324</v>
      </c>
      <c r="J36" s="46" t="s">
        <v>1325</v>
      </c>
      <c r="K36" s="41" t="s">
        <v>1326</v>
      </c>
      <c r="L36" s="40" t="s">
        <v>1201</v>
      </c>
      <c r="M36" s="42"/>
    </row>
    <row r="37" spans="1:13" ht="14.25">
      <c r="A37" s="4" t="str">
        <f>Geral!A38</f>
        <v>Aberta</v>
      </c>
      <c r="B37" s="179" t="s">
        <v>1196</v>
      </c>
      <c r="C37" s="37">
        <v>35</v>
      </c>
      <c r="D37" s="36" t="str">
        <f ca="1">IFERROR(__xludf.DUMMYFUNCTION("""COMPUTED_VALUE"""),"BM09")</f>
        <v>BM09</v>
      </c>
      <c r="E37" s="111" t="str">
        <f ca="1">IFERROR(__xludf.DUMMYFUNCTION("""COMPUTED_VALUE"""),"Biblioteca Narbal Fontes")</f>
        <v>Biblioteca Narbal Fontes</v>
      </c>
      <c r="F37" s="111" t="str">
        <f ca="1">IFERROR(__xludf.DUMMYFUNCTION("""COMPUTED_VALUE"""),"Z/N")</f>
        <v>Z/N</v>
      </c>
      <c r="G37" s="39" t="s">
        <v>1327</v>
      </c>
      <c r="H37" s="40" t="s">
        <v>1328</v>
      </c>
      <c r="I37" s="197">
        <v>255255255192</v>
      </c>
      <c r="J37" s="40" t="s">
        <v>1329</v>
      </c>
      <c r="K37" s="41" t="s">
        <v>1330</v>
      </c>
      <c r="L37" s="40" t="s">
        <v>1201</v>
      </c>
      <c r="M37" s="42"/>
    </row>
    <row r="38" spans="1:13" ht="14.25">
      <c r="A38" s="4" t="str">
        <f>Geral!A39</f>
        <v>Aberta</v>
      </c>
      <c r="B38" s="179" t="s">
        <v>1196</v>
      </c>
      <c r="C38" s="37">
        <v>36</v>
      </c>
      <c r="D38" s="36" t="str">
        <f ca="1">IFERROR(__xludf.DUMMYFUNCTION("""COMPUTED_VALUE"""),"BM21")</f>
        <v>BM21</v>
      </c>
      <c r="E38" s="111" t="str">
        <f ca="1">IFERROR(__xludf.DUMMYFUNCTION("""COMPUTED_VALUE"""),"Biblioteca Nuto Sant’anna")</f>
        <v>Biblioteca Nuto Sant’anna</v>
      </c>
      <c r="F38" s="111" t="str">
        <f ca="1">IFERROR(__xludf.DUMMYFUNCTION("""COMPUTED_VALUE"""),"Z/N")</f>
        <v>Z/N</v>
      </c>
      <c r="G38" s="39" t="s">
        <v>1331</v>
      </c>
      <c r="H38" s="40" t="s">
        <v>1332</v>
      </c>
      <c r="I38" s="197">
        <v>255255255192</v>
      </c>
      <c r="J38" s="40" t="s">
        <v>1333</v>
      </c>
      <c r="K38" s="41" t="s">
        <v>1334</v>
      </c>
      <c r="L38" s="40" t="s">
        <v>1201</v>
      </c>
      <c r="M38" s="42"/>
    </row>
    <row r="39" spans="1:13" ht="14.25">
      <c r="A39" s="4" t="str">
        <f>Geral!A40</f>
        <v>Aberta</v>
      </c>
      <c r="B39" s="179" t="s">
        <v>1196</v>
      </c>
      <c r="C39" s="37">
        <v>37</v>
      </c>
      <c r="D39" s="36" t="str">
        <f ca="1">IFERROR(__xludf.DUMMYFUNCTION("""COMPUTED_VALUE"""),"BM30")</f>
        <v>BM30</v>
      </c>
      <c r="E39" s="111" t="str">
        <f ca="1">IFERROR(__xludf.DUMMYFUNCTION("""COMPUTED_VALUE"""),"Biblioteca Padre José de Anchieta")</f>
        <v>Biblioteca Padre José de Anchieta</v>
      </c>
      <c r="F39" s="111" t="str">
        <f ca="1">IFERROR(__xludf.DUMMYFUNCTION("""COMPUTED_VALUE"""),"Z/N")</f>
        <v>Z/N</v>
      </c>
      <c r="G39" s="39" t="s">
        <v>1335</v>
      </c>
      <c r="H39" s="40" t="s">
        <v>1336</v>
      </c>
      <c r="I39" s="197">
        <v>255255255192</v>
      </c>
      <c r="J39" s="40" t="s">
        <v>1337</v>
      </c>
      <c r="K39" s="41" t="s">
        <v>1338</v>
      </c>
      <c r="L39" s="40" t="s">
        <v>1201</v>
      </c>
      <c r="M39" s="42"/>
    </row>
    <row r="40" spans="1:13" ht="14.25">
      <c r="A40" s="4" t="str">
        <f>Geral!A41</f>
        <v>Aberta</v>
      </c>
      <c r="B40" s="179" t="s">
        <v>1196</v>
      </c>
      <c r="C40" s="37">
        <v>38</v>
      </c>
      <c r="D40" s="36" t="str">
        <f ca="1">IFERROR(__xludf.DUMMYFUNCTION("""COMPUTED_VALUE"""),"BM34")</f>
        <v>BM34</v>
      </c>
      <c r="E40" s="111" t="str">
        <f ca="1">IFERROR(__xludf.DUMMYFUNCTION("""COMPUTED_VALUE"""),"Biblioteca Paulo Duarte")</f>
        <v>Biblioteca Paulo Duarte</v>
      </c>
      <c r="F40" s="111" t="str">
        <f ca="1">IFERROR(__xludf.DUMMYFUNCTION("""COMPUTED_VALUE"""),"Z/S")</f>
        <v>Z/S</v>
      </c>
      <c r="G40" s="39" t="s">
        <v>1339</v>
      </c>
      <c r="H40" s="40" t="s">
        <v>1340</v>
      </c>
      <c r="I40" s="197">
        <v>255255255192</v>
      </c>
      <c r="J40" s="40" t="s">
        <v>1341</v>
      </c>
      <c r="K40" s="41" t="s">
        <v>1342</v>
      </c>
      <c r="L40" s="40" t="s">
        <v>1201</v>
      </c>
      <c r="M40" s="42"/>
    </row>
    <row r="41" spans="1:13" ht="14.25">
      <c r="A41" s="4" t="str">
        <f>Geral!A42</f>
        <v>Aberta</v>
      </c>
      <c r="B41" s="179" t="s">
        <v>1196</v>
      </c>
      <c r="C41" s="37">
        <v>39</v>
      </c>
      <c r="D41" s="36" t="str">
        <f ca="1">IFERROR(__xludf.DUMMYFUNCTION("""COMPUTED_VALUE"""),"BM19")</f>
        <v>BM19</v>
      </c>
      <c r="E41" s="111" t="str">
        <f ca="1">IFERROR(__xludf.DUMMYFUNCTION("""COMPUTED_VALUE"""),"Biblioteca Paulo Sérgio Duarte Milliet")</f>
        <v>Biblioteca Paulo Sérgio Duarte Milliet</v>
      </c>
      <c r="F41" s="111" t="str">
        <f ca="1">IFERROR(__xludf.DUMMYFUNCTION("""COMPUTED_VALUE"""),"Z/L")</f>
        <v>Z/L</v>
      </c>
      <c r="G41" s="43"/>
      <c r="H41" s="40" t="s">
        <v>1343</v>
      </c>
      <c r="I41" s="197">
        <v>255255255192</v>
      </c>
      <c r="J41" s="40" t="s">
        <v>1341</v>
      </c>
      <c r="K41" s="41" t="s">
        <v>1344</v>
      </c>
      <c r="L41" s="40" t="s">
        <v>1201</v>
      </c>
      <c r="M41" s="42"/>
    </row>
    <row r="42" spans="1:13" ht="14.25">
      <c r="A42" s="4" t="str">
        <f>Geral!A43</f>
        <v>Aberta</v>
      </c>
      <c r="B42" s="179" t="s">
        <v>1196</v>
      </c>
      <c r="C42" s="37">
        <v>40</v>
      </c>
      <c r="D42" s="36" t="str">
        <f ca="1">IFERROR(__xludf.DUMMYFUNCTION("""COMPUTED_VALUE"""),"BM28")</f>
        <v>BM28</v>
      </c>
      <c r="E42" s="111" t="str">
        <f ca="1">IFERROR(__xludf.DUMMYFUNCTION("""COMPUTED_VALUE"""),"Biblioteca Paulo Setúbal")</f>
        <v>Biblioteca Paulo Setúbal</v>
      </c>
      <c r="F42" s="111" t="str">
        <f ca="1">IFERROR(__xludf.DUMMYFUNCTION("""COMPUTED_VALUE"""),"Z/L")</f>
        <v>Z/L</v>
      </c>
      <c r="G42" s="39" t="s">
        <v>1345</v>
      </c>
      <c r="H42" s="40" t="s">
        <v>1346</v>
      </c>
      <c r="I42" s="197">
        <v>255255255192</v>
      </c>
      <c r="J42" s="40" t="s">
        <v>1347</v>
      </c>
      <c r="K42" s="41" t="s">
        <v>1348</v>
      </c>
      <c r="L42" s="40" t="s">
        <v>1201</v>
      </c>
      <c r="M42" s="42"/>
    </row>
    <row r="43" spans="1:13" ht="14.25">
      <c r="A43" s="4" t="str">
        <f>Geral!A44</f>
        <v>Aberta</v>
      </c>
      <c r="B43" s="179" t="s">
        <v>1196</v>
      </c>
      <c r="C43" s="37">
        <v>41</v>
      </c>
      <c r="D43" s="36" t="str">
        <f ca="1">IFERROR(__xludf.DUMMYFUNCTION("""COMPUTED_VALUE"""),"BM47")</f>
        <v>BM47</v>
      </c>
      <c r="E43" s="111" t="str">
        <f ca="1">IFERROR(__xludf.DUMMYFUNCTION("""COMPUTED_VALUE"""),"Biblioteca Pedro da Silva Nava")</f>
        <v>Biblioteca Pedro da Silva Nava</v>
      </c>
      <c r="F43" s="111" t="str">
        <f ca="1">IFERROR(__xludf.DUMMYFUNCTION("""COMPUTED_VALUE"""),"Z/N")</f>
        <v>Z/N</v>
      </c>
      <c r="G43" s="39" t="s">
        <v>1349</v>
      </c>
      <c r="H43" s="40" t="s">
        <v>1350</v>
      </c>
      <c r="I43" s="197">
        <v>255255255192</v>
      </c>
      <c r="J43" s="40" t="s">
        <v>1351</v>
      </c>
      <c r="K43" s="41" t="s">
        <v>1352</v>
      </c>
      <c r="L43" s="40" t="s">
        <v>1201</v>
      </c>
      <c r="M43" s="42"/>
    </row>
    <row r="44" spans="1:13" ht="14.25">
      <c r="A44" s="4" t="str">
        <f>Geral!A45</f>
        <v>Aberta</v>
      </c>
      <c r="B44" s="179" t="s">
        <v>1196</v>
      </c>
      <c r="C44" s="37">
        <v>42</v>
      </c>
      <c r="D44" s="36" t="str">
        <f ca="1">IFERROR(__xludf.DUMMYFUNCTION("""COMPUTED_VALUE"""),"BM25")</f>
        <v>BM25</v>
      </c>
      <c r="E44" s="111" t="str">
        <f ca="1">IFERROR(__xludf.DUMMYFUNCTION("""COMPUTED_VALUE"""),"Biblioteca Prefeito Prestes Maia")</f>
        <v>Biblioteca Prefeito Prestes Maia</v>
      </c>
      <c r="F44" s="111" t="str">
        <f ca="1">IFERROR(__xludf.DUMMYFUNCTION("""COMPUTED_VALUE"""),"Z/S")</f>
        <v>Z/S</v>
      </c>
      <c r="G44" s="39" t="s">
        <v>1353</v>
      </c>
      <c r="H44" s="40" t="s">
        <v>1354</v>
      </c>
      <c r="I44" s="197">
        <v>255255255192</v>
      </c>
      <c r="J44" s="40" t="s">
        <v>1355</v>
      </c>
      <c r="K44" s="41" t="s">
        <v>1356</v>
      </c>
      <c r="L44" s="40" t="s">
        <v>1201</v>
      </c>
      <c r="M44" s="42"/>
    </row>
    <row r="45" spans="1:13" ht="14.25">
      <c r="A45" s="4" t="str">
        <f>Geral!A46</f>
        <v>Aberta</v>
      </c>
      <c r="B45" s="179" t="s">
        <v>1196</v>
      </c>
      <c r="C45" s="37">
        <v>43</v>
      </c>
      <c r="D45" s="36" t="str">
        <f ca="1">IFERROR(__xludf.DUMMYFUNCTION("""COMPUTED_VALUE"""),"BM35")</f>
        <v>BM35</v>
      </c>
      <c r="E45" s="111" t="str">
        <f ca="1">IFERROR(__xludf.DUMMYFUNCTION("""COMPUTED_VALUE"""),"Biblioteca Raimundo de Menezes")</f>
        <v>Biblioteca Raimundo de Menezes</v>
      </c>
      <c r="F45" s="111" t="str">
        <f ca="1">IFERROR(__xludf.DUMMYFUNCTION("""COMPUTED_VALUE"""),"Z/L")</f>
        <v>Z/L</v>
      </c>
      <c r="G45" s="39" t="s">
        <v>1357</v>
      </c>
      <c r="H45" s="40" t="s">
        <v>1358</v>
      </c>
      <c r="I45" s="197">
        <v>255255255192</v>
      </c>
      <c r="J45" s="40" t="s">
        <v>1359</v>
      </c>
      <c r="K45" s="41" t="s">
        <v>1360</v>
      </c>
      <c r="L45" s="40" t="s">
        <v>1201</v>
      </c>
      <c r="M45" s="42"/>
    </row>
    <row r="46" spans="1:13" ht="14.25">
      <c r="A46" s="4" t="str">
        <f>Geral!A47</f>
        <v>Aberta</v>
      </c>
      <c r="B46" s="179" t="s">
        <v>1196</v>
      </c>
      <c r="C46" s="37">
        <v>44</v>
      </c>
      <c r="D46" s="36" t="str">
        <f ca="1">IFERROR(__xludf.DUMMYFUNCTION("""COMPUTED_VALUE"""),"BM22")</f>
        <v>BM22</v>
      </c>
      <c r="E46" s="111" t="str">
        <f ca="1">IFERROR(__xludf.DUMMYFUNCTION("""COMPUTED_VALUE"""),"Biblioteca Raul Bopp")</f>
        <v>Biblioteca Raul Bopp</v>
      </c>
      <c r="F46" s="111" t="str">
        <f ca="1">IFERROR(__xludf.DUMMYFUNCTION("""COMPUTED_VALUE"""),"Z/S")</f>
        <v>Z/S</v>
      </c>
      <c r="G46" s="39" t="s">
        <v>1361</v>
      </c>
      <c r="H46" s="40" t="s">
        <v>1362</v>
      </c>
      <c r="I46" s="197">
        <v>255255255192</v>
      </c>
      <c r="J46" s="40" t="s">
        <v>1363</v>
      </c>
      <c r="K46" s="41" t="s">
        <v>1364</v>
      </c>
      <c r="L46" s="40" t="s">
        <v>1201</v>
      </c>
      <c r="M46" s="42"/>
    </row>
    <row r="47" spans="1:13" ht="14.25">
      <c r="A47" s="4" t="str">
        <f>Geral!A48</f>
        <v>Aberta</v>
      </c>
      <c r="B47" s="179" t="s">
        <v>1196</v>
      </c>
      <c r="C47" s="37">
        <v>45</v>
      </c>
      <c r="D47" s="36" t="str">
        <f ca="1">IFERROR(__xludf.DUMMYFUNCTION("""COMPUTED_VALUE"""),"BM20")</f>
        <v>BM20</v>
      </c>
      <c r="E47" s="111" t="str">
        <f ca="1">IFERROR(__xludf.DUMMYFUNCTION("""COMPUTED_VALUE"""),"Biblioteca Ricardo Ramos")</f>
        <v>Biblioteca Ricardo Ramos</v>
      </c>
      <c r="F47" s="111" t="str">
        <f ca="1">IFERROR(__xludf.DUMMYFUNCTION("""COMPUTED_VALUE"""),"Z/L")</f>
        <v>Z/L</v>
      </c>
      <c r="G47" s="39" t="s">
        <v>1365</v>
      </c>
      <c r="H47" s="40" t="s">
        <v>1366</v>
      </c>
      <c r="I47" s="197">
        <v>255255255192</v>
      </c>
      <c r="J47" s="40" t="s">
        <v>1367</v>
      </c>
      <c r="K47" s="41" t="s">
        <v>1368</v>
      </c>
      <c r="L47" s="40" t="s">
        <v>1201</v>
      </c>
      <c r="M47" s="42"/>
    </row>
    <row r="48" spans="1:13" ht="14.25">
      <c r="A48" s="4" t="str">
        <f>Geral!A49</f>
        <v>Aberta</v>
      </c>
      <c r="B48" s="179" t="s">
        <v>1196</v>
      </c>
      <c r="C48" s="37">
        <v>46</v>
      </c>
      <c r="D48" s="36" t="str">
        <f ca="1">IFERROR(__xludf.DUMMYFUNCTION("""COMPUTED_VALUE"""),"BM07")</f>
        <v>BM07</v>
      </c>
      <c r="E48" s="111" t="str">
        <f ca="1">IFERROR(__xludf.DUMMYFUNCTION("""COMPUTED_VALUE"""),"Biblioteca Roberto Santos")</f>
        <v>Biblioteca Roberto Santos</v>
      </c>
      <c r="F48" s="111" t="str">
        <f ca="1">IFERROR(__xludf.DUMMYFUNCTION("""COMPUTED_VALUE"""),"Z/S")</f>
        <v>Z/S</v>
      </c>
      <c r="G48" s="39" t="s">
        <v>1369</v>
      </c>
      <c r="H48" s="40" t="s">
        <v>1370</v>
      </c>
      <c r="I48" s="25" t="s">
        <v>1324</v>
      </c>
      <c r="J48" s="40" t="s">
        <v>1371</v>
      </c>
      <c r="K48" s="41" t="s">
        <v>1372</v>
      </c>
      <c r="L48" s="40" t="s">
        <v>1201</v>
      </c>
      <c r="M48" s="42"/>
    </row>
    <row r="49" spans="1:13" ht="14.25">
      <c r="A49" s="4" t="str">
        <f>Geral!A50</f>
        <v>Aberta</v>
      </c>
      <c r="B49" s="179" t="s">
        <v>1196</v>
      </c>
      <c r="C49" s="37">
        <v>47</v>
      </c>
      <c r="D49" s="36" t="str">
        <f ca="1">IFERROR(__xludf.DUMMYFUNCTION("""COMPUTED_VALUE"""),"BM49")</f>
        <v>BM49</v>
      </c>
      <c r="E49" s="111" t="str">
        <f ca="1">IFERROR(__xludf.DUMMYFUNCTION("""COMPUTED_VALUE"""),"Biblioteca Rubens Borba Alves de Moraes")</f>
        <v>Biblioteca Rubens Borba Alves de Moraes</v>
      </c>
      <c r="F49" s="111" t="str">
        <f ca="1">IFERROR(__xludf.DUMMYFUNCTION("""COMPUTED_VALUE"""),"Z/L")</f>
        <v>Z/L</v>
      </c>
      <c r="G49" s="39" t="s">
        <v>1373</v>
      </c>
      <c r="H49" s="40" t="s">
        <v>1374</v>
      </c>
      <c r="I49" s="197">
        <v>255255255192</v>
      </c>
      <c r="J49" s="40" t="s">
        <v>1375</v>
      </c>
      <c r="K49" s="41" t="s">
        <v>1376</v>
      </c>
      <c r="L49" s="40" t="s">
        <v>1201</v>
      </c>
      <c r="M49" s="42"/>
    </row>
    <row r="50" spans="1:13" ht="14.25">
      <c r="A50" s="4" t="str">
        <f>Geral!A51</f>
        <v>Aberta</v>
      </c>
      <c r="B50" s="179" t="s">
        <v>1196</v>
      </c>
      <c r="C50" s="37">
        <v>48</v>
      </c>
      <c r="D50" s="36" t="str">
        <f ca="1">IFERROR(__xludf.DUMMYFUNCTION("""COMPUTED_VALUE"""),"BM36")</f>
        <v>BM36</v>
      </c>
      <c r="E50" s="111" t="str">
        <f ca="1">IFERROR(__xludf.DUMMYFUNCTION("""COMPUTED_VALUE"""),"Biblioteca Sergio Buarque de Holanda")</f>
        <v>Biblioteca Sergio Buarque de Holanda</v>
      </c>
      <c r="F50" s="111" t="str">
        <f ca="1">IFERROR(__xludf.DUMMYFUNCTION("""COMPUTED_VALUE"""),"Z/L")</f>
        <v>Z/L</v>
      </c>
      <c r="G50" s="39" t="s">
        <v>1377</v>
      </c>
      <c r="H50" s="40" t="s">
        <v>1378</v>
      </c>
      <c r="I50" s="197">
        <v>255255255192</v>
      </c>
      <c r="J50" s="40" t="s">
        <v>1379</v>
      </c>
      <c r="K50" s="41" t="s">
        <v>1380</v>
      </c>
      <c r="L50" s="40" t="s">
        <v>1201</v>
      </c>
      <c r="M50" s="42"/>
    </row>
    <row r="51" spans="1:13" ht="14.25">
      <c r="A51" s="4" t="str">
        <f>Geral!A52</f>
        <v>Aberta</v>
      </c>
      <c r="B51" s="179" t="s">
        <v>1196</v>
      </c>
      <c r="C51" s="37">
        <v>49</v>
      </c>
      <c r="D51" s="36" t="str">
        <f ca="1">IFERROR(__xludf.DUMMYFUNCTION("""COMPUTED_VALUE"""),"BM39")</f>
        <v>BM39</v>
      </c>
      <c r="E51" s="111" t="str">
        <f ca="1">IFERROR(__xludf.DUMMYFUNCTION("""COMPUTED_VALUE"""),"Biblioteca Sylvia Orthof")</f>
        <v>Biblioteca Sylvia Orthof</v>
      </c>
      <c r="F51" s="111" t="str">
        <f ca="1">IFERROR(__xludf.DUMMYFUNCTION("""COMPUTED_VALUE"""),"Z/N")</f>
        <v>Z/N</v>
      </c>
      <c r="G51" s="39" t="s">
        <v>1381</v>
      </c>
      <c r="H51" s="40" t="s">
        <v>1382</v>
      </c>
      <c r="I51" s="197">
        <v>255255255192</v>
      </c>
      <c r="J51" s="40" t="s">
        <v>1383</v>
      </c>
      <c r="K51" s="41" t="s">
        <v>1384</v>
      </c>
      <c r="L51" s="40" t="s">
        <v>1201</v>
      </c>
      <c r="M51" s="42"/>
    </row>
    <row r="52" spans="1:13" ht="14.25">
      <c r="A52" s="4" t="str">
        <f>Geral!A53</f>
        <v>Aberta</v>
      </c>
      <c r="B52" s="179" t="s">
        <v>1196</v>
      </c>
      <c r="C52" s="37">
        <v>50</v>
      </c>
      <c r="D52" s="36" t="str">
        <f ca="1">IFERROR(__xludf.DUMMYFUNCTION("""COMPUTED_VALUE"""),"BM26")</f>
        <v>BM26</v>
      </c>
      <c r="E52" s="111" t="str">
        <f ca="1">IFERROR(__xludf.DUMMYFUNCTION("""COMPUTED_VALUE"""),"Biblioteca Thales Castanho de Andrade")</f>
        <v>Biblioteca Thales Castanho de Andrade</v>
      </c>
      <c r="F52" s="111" t="str">
        <f ca="1">IFERROR(__xludf.DUMMYFUNCTION("""COMPUTED_VALUE"""),"Z/N")</f>
        <v>Z/N</v>
      </c>
      <c r="G52" s="43"/>
      <c r="H52" s="40" t="s">
        <v>1385</v>
      </c>
      <c r="I52" s="197">
        <v>255255255192</v>
      </c>
      <c r="J52" s="40" t="s">
        <v>1386</v>
      </c>
      <c r="K52" s="41" t="s">
        <v>1387</v>
      </c>
      <c r="L52" s="40" t="s">
        <v>1201</v>
      </c>
      <c r="M52" s="42"/>
    </row>
    <row r="53" spans="1:13" ht="14.25">
      <c r="A53" s="4" t="str">
        <f>Geral!A54</f>
        <v xml:space="preserve">Fechada </v>
      </c>
      <c r="B53" s="243" t="s">
        <v>1256</v>
      </c>
      <c r="C53" s="37">
        <v>51</v>
      </c>
      <c r="D53" s="36" t="str">
        <f ca="1">IFERROR(__xludf.DUMMYFUNCTION("""COMPUTED_VALUE"""),"BM40")</f>
        <v>BM40</v>
      </c>
      <c r="E53" s="111" t="str">
        <f ca="1">IFERROR(__xludf.DUMMYFUNCTION("""COMPUTED_VALUE"""),"Biblioteca Vicente de Carvalho")</f>
        <v>Biblioteca Vicente de Carvalho</v>
      </c>
      <c r="F53" s="111" t="str">
        <f ca="1">IFERROR(__xludf.DUMMYFUNCTION("""COMPUTED_VALUE"""),"Z/L")</f>
        <v>Z/L</v>
      </c>
      <c r="G53" s="39" t="s">
        <v>1388</v>
      </c>
      <c r="H53" s="383" t="s">
        <v>1258</v>
      </c>
      <c r="I53" s="384"/>
      <c r="J53" s="384"/>
      <c r="K53" s="384"/>
      <c r="L53" s="385"/>
      <c r="M53" s="222"/>
    </row>
    <row r="54" spans="1:13" ht="14.25">
      <c r="A54" s="4" t="s">
        <v>164</v>
      </c>
      <c r="B54" s="179" t="s">
        <v>1196</v>
      </c>
      <c r="C54" s="37">
        <v>52</v>
      </c>
      <c r="D54" s="36" t="str">
        <f ca="1">IFERROR(__xludf.DUMMYFUNCTION("""COMPUTED_VALUE"""),"BM48")</f>
        <v>BM48</v>
      </c>
      <c r="E54" s="111" t="str">
        <f ca="1">IFERROR(__xludf.DUMMYFUNCTION("""COMPUTED_VALUE"""),"Biblioteca Vicente Paulo Guimarães")</f>
        <v>Biblioteca Vicente Paulo Guimarães</v>
      </c>
      <c r="F54" s="111" t="str">
        <f ca="1">IFERROR(__xludf.DUMMYFUNCTION("""COMPUTED_VALUE"""),"Z/L")</f>
        <v>Z/L</v>
      </c>
      <c r="G54" s="43"/>
      <c r="H54" s="40" t="s">
        <v>1389</v>
      </c>
      <c r="I54" s="197">
        <v>255255255192</v>
      </c>
      <c r="J54" s="40" t="s">
        <v>1390</v>
      </c>
      <c r="K54" s="41" t="s">
        <v>1391</v>
      </c>
      <c r="L54" s="40" t="s">
        <v>1201</v>
      </c>
      <c r="M54" s="42"/>
    </row>
    <row r="55" spans="1:13" ht="14.25">
      <c r="A55" s="4" t="str">
        <f>Geral!A56</f>
        <v>Aberta</v>
      </c>
      <c r="B55" s="179" t="s">
        <v>1196</v>
      </c>
      <c r="C55" s="37">
        <v>53</v>
      </c>
      <c r="D55" s="36" t="str">
        <f ca="1">IFERROR(__xludf.DUMMYFUNCTION("""COMPUTED_VALUE"""),"BM41")</f>
        <v>BM41</v>
      </c>
      <c r="E55" s="111" t="str">
        <f ca="1">IFERROR(__xludf.DUMMYFUNCTION("""COMPUTED_VALUE"""),"Biblioteca Vinicius de Morais")</f>
        <v>Biblioteca Vinicius de Morais</v>
      </c>
      <c r="F55" s="111" t="str">
        <f ca="1">IFERROR(__xludf.DUMMYFUNCTION("""COMPUTED_VALUE"""),"Z/L")</f>
        <v>Z/L</v>
      </c>
      <c r="G55" s="39" t="s">
        <v>1392</v>
      </c>
      <c r="H55" s="40" t="s">
        <v>1393</v>
      </c>
      <c r="I55" s="197">
        <v>255255255192</v>
      </c>
      <c r="J55" s="40" t="s">
        <v>1394</v>
      </c>
      <c r="K55" s="41" t="s">
        <v>1395</v>
      </c>
      <c r="L55" s="40" t="s">
        <v>1201</v>
      </c>
      <c r="M55" s="42"/>
    </row>
    <row r="56" spans="1:13" ht="14.25">
      <c r="A56" s="4" t="str">
        <f>Geral!A57</f>
        <v>Aberta</v>
      </c>
      <c r="B56" s="179" t="s">
        <v>1196</v>
      </c>
      <c r="C56" s="37">
        <v>54</v>
      </c>
      <c r="D56" s="36" t="str">
        <f ca="1">IFERROR(__xludf.DUMMYFUNCTION("""COMPUTED_VALUE"""),"BM05")</f>
        <v>BM05</v>
      </c>
      <c r="E56" s="111" t="str">
        <f ca="1">IFERROR(__xludf.DUMMYFUNCTION("""COMPUTED_VALUE"""),"Biblioteca Viriato Correa")</f>
        <v>Biblioteca Viriato Correa</v>
      </c>
      <c r="F56" s="111" t="str">
        <f ca="1">IFERROR(__xludf.DUMMYFUNCTION("""COMPUTED_VALUE"""),"Z/S")</f>
        <v>Z/S</v>
      </c>
      <c r="G56" s="43"/>
      <c r="H56" s="40" t="s">
        <v>1396</v>
      </c>
      <c r="I56" s="197">
        <v>255255255192</v>
      </c>
      <c r="J56" s="40" t="s">
        <v>1397</v>
      </c>
      <c r="K56" s="41" t="s">
        <v>1398</v>
      </c>
      <c r="L56" s="40" t="s">
        <v>1201</v>
      </c>
      <c r="M56" s="42"/>
    </row>
    <row r="57" spans="1:13" ht="7.5" customHeight="1">
      <c r="A57" s="386"/>
      <c r="B57" s="384"/>
      <c r="C57" s="384"/>
      <c r="D57" s="384"/>
      <c r="E57" s="384"/>
      <c r="F57" s="384"/>
      <c r="G57" s="384"/>
      <c r="H57" s="384"/>
      <c r="I57" s="384"/>
      <c r="J57" s="384"/>
      <c r="K57" s="384"/>
      <c r="L57" s="385"/>
      <c r="M57" s="47"/>
    </row>
    <row r="58" spans="1:13" ht="14.25">
      <c r="A58" s="4" t="str">
        <f ca="1">IFERROR(__xludf.DUMMYFUNCTION("""COMPUTED_VALUE"""),"Fechada ")</f>
        <v xml:space="preserve">Fechada </v>
      </c>
      <c r="B58" s="36"/>
      <c r="C58" s="36"/>
      <c r="D58" s="36" t="str">
        <f ca="1">IFERROR(__xludf.DUMMYFUNCTION("""COMPUTED_VALUE"""),"PL01")</f>
        <v>PL01</v>
      </c>
      <c r="E58" s="111" t="str">
        <f ca="1">IFERROR(__xludf.DUMMYFUNCTION("""COMPUTED_VALUE"""),"André Vital")</f>
        <v>André Vital</v>
      </c>
      <c r="F58" s="48" t="str">
        <f ca="1">IFERROR(__xludf.DUMMYFUNCTION("""COMPUTED_VALUE"""),"Z/L")</f>
        <v>Z/L</v>
      </c>
      <c r="G58" s="36"/>
      <c r="H58" s="36"/>
      <c r="I58" s="36"/>
      <c r="J58" s="36"/>
      <c r="K58" s="36"/>
      <c r="L58" s="36"/>
      <c r="M58" s="49"/>
    </row>
    <row r="59" spans="1:13" ht="14.25">
      <c r="A59" s="4" t="str">
        <f ca="1">IFERROR(__xludf.DUMMYFUNCTION("""COMPUTED_VALUE"""),"Aberta")</f>
        <v>Aberta</v>
      </c>
      <c r="B59" s="36"/>
      <c r="C59" s="36"/>
      <c r="D59" s="36" t="str">
        <f ca="1">IFERROR(__xludf.DUMMYFUNCTION("""COMPUTED_VALUE"""),"PL02")</f>
        <v>PL02</v>
      </c>
      <c r="E59" s="111" t="str">
        <f ca="1">IFERROR(__xludf.DUMMYFUNCTION("""COMPUTED_VALUE"""),"Juscelino Kubitschek")</f>
        <v>Juscelino Kubitschek</v>
      </c>
      <c r="F59" s="48" t="str">
        <f ca="1">IFERROR(__xludf.DUMMYFUNCTION("""COMPUTED_VALUE"""),"Z/L")</f>
        <v>Z/L</v>
      </c>
      <c r="G59" s="36"/>
      <c r="H59" s="36"/>
      <c r="I59" s="36"/>
      <c r="J59" s="36"/>
      <c r="K59" s="36"/>
      <c r="L59" s="36"/>
      <c r="M59" s="49"/>
    </row>
    <row r="60" spans="1:13" ht="14.25">
      <c r="A60" s="4" t="str">
        <f ca="1">IFERROR(__xludf.DUMMYFUNCTION("""COMPUTED_VALUE"""),"Aberta")</f>
        <v>Aberta</v>
      </c>
      <c r="B60" s="36"/>
      <c r="C60" s="36"/>
      <c r="D60" s="36" t="str">
        <f ca="1">IFERROR(__xludf.DUMMYFUNCTION("""COMPUTED_VALUE"""),"PL03")</f>
        <v>PL03</v>
      </c>
      <c r="E60" s="111" t="str">
        <f ca="1">IFERROR(__xludf.DUMMYFUNCTION("""COMPUTED_VALUE"""),"Parque Vila do Rodeio")</f>
        <v>Parque Vila do Rodeio</v>
      </c>
      <c r="F60" s="48" t="str">
        <f ca="1">IFERROR(__xludf.DUMMYFUNCTION("""COMPUTED_VALUE"""),"Z/L")</f>
        <v>Z/L</v>
      </c>
      <c r="G60" s="36"/>
      <c r="H60" s="36"/>
      <c r="I60" s="36"/>
      <c r="J60" s="36"/>
      <c r="K60" s="36"/>
      <c r="L60" s="36"/>
      <c r="M60" s="49"/>
    </row>
    <row r="61" spans="1:13" ht="14.25">
      <c r="A61" s="4" t="str">
        <f ca="1">IFERROR(__xludf.DUMMYFUNCTION("""COMPUTED_VALUE"""),"Fechada ")</f>
        <v xml:space="preserve">Fechada </v>
      </c>
      <c r="B61" s="36"/>
      <c r="C61" s="36"/>
      <c r="D61" s="36" t="str">
        <f ca="1">IFERROR(__xludf.DUMMYFUNCTION("""COMPUTED_VALUE"""),"PL04")</f>
        <v>PL04</v>
      </c>
      <c r="E61" s="111" t="str">
        <f ca="1">IFERROR(__xludf.DUMMYFUNCTION("""COMPUTED_VALUE"""),"Vila Mara")</f>
        <v>Vila Mara</v>
      </c>
      <c r="F61" s="48" t="str">
        <f ca="1">IFERROR(__xludf.DUMMYFUNCTION("""COMPUTED_VALUE"""),"Z/L")</f>
        <v>Z/L</v>
      </c>
      <c r="G61" s="36"/>
      <c r="H61" s="36"/>
      <c r="I61" s="36"/>
      <c r="J61" s="36"/>
      <c r="K61" s="36"/>
      <c r="L61" s="36"/>
      <c r="M61" s="49"/>
    </row>
    <row r="62" spans="1:13" ht="14.25">
      <c r="A62" s="4" t="str">
        <f ca="1">IFERROR(__xludf.DUMMYFUNCTION("""COMPUTED_VALUE"""),"Fechada ")</f>
        <v xml:space="preserve">Fechada </v>
      </c>
      <c r="B62" s="36"/>
      <c r="C62" s="36"/>
      <c r="D62" s="36" t="str">
        <f ca="1">IFERROR(__xludf.DUMMYFUNCTION("""COMPUTED_VALUE"""),"PL05")</f>
        <v>PL05</v>
      </c>
      <c r="E62" s="111" t="str">
        <f ca="1">IFERROR(__xludf.DUMMYFUNCTION("""COMPUTED_VALUE"""),"União dos Moradores do Parque Anhanguera")</f>
        <v>União dos Moradores do Parque Anhanguera</v>
      </c>
      <c r="F62" s="48" t="str">
        <f ca="1">IFERROR(__xludf.DUMMYFUNCTION("""COMPUTED_VALUE"""),"Z/N")</f>
        <v>Z/N</v>
      </c>
      <c r="G62" s="36"/>
      <c r="H62" s="36"/>
      <c r="I62" s="36"/>
      <c r="J62" s="36"/>
      <c r="K62" s="36"/>
      <c r="L62" s="36"/>
      <c r="M62" s="49"/>
    </row>
    <row r="63" spans="1:13" ht="14.25">
      <c r="A63" s="4" t="s">
        <v>164</v>
      </c>
      <c r="B63" s="36"/>
      <c r="C63" s="36"/>
      <c r="D63" s="36" t="str">
        <f ca="1">IFERROR(__xludf.DUMMYFUNCTION("""COMPUTED_VALUE"""),"PL06")</f>
        <v>PL06</v>
      </c>
      <c r="E63" s="111" t="str">
        <f ca="1">IFERROR(__xludf.DUMMYFUNCTION("""COMPUTED_VALUE"""),"Praça do Bambuzal")</f>
        <v>Praça do Bambuzal</v>
      </c>
      <c r="F63" s="48" t="str">
        <f ca="1">IFERROR(__xludf.DUMMYFUNCTION("""COMPUTED_VALUE"""),"Z/S")</f>
        <v>Z/S</v>
      </c>
      <c r="G63" s="36"/>
      <c r="H63" s="36"/>
      <c r="I63" s="36"/>
      <c r="J63" s="36"/>
      <c r="K63" s="36"/>
      <c r="L63" s="36"/>
      <c r="M63" s="49"/>
    </row>
    <row r="64" spans="1:13" ht="14.25">
      <c r="A64" s="4" t="str">
        <f ca="1">IFERROR(__xludf.DUMMYFUNCTION("""COMPUTED_VALUE"""),"Fechada ")</f>
        <v xml:space="preserve">Fechada </v>
      </c>
      <c r="B64" s="36"/>
      <c r="C64" s="36"/>
      <c r="D64" s="36" t="str">
        <f ca="1">IFERROR(__xludf.DUMMYFUNCTION("""COMPUTED_VALUE"""),"PL07")</f>
        <v>PL07</v>
      </c>
      <c r="E64" s="111" t="str">
        <f ca="1">IFERROR(__xludf.DUMMYFUNCTION("""COMPUTED_VALUE"""),"Carolina Maria de Jesus")</f>
        <v>Carolina Maria de Jesus</v>
      </c>
      <c r="F64" s="48" t="str">
        <f ca="1">IFERROR(__xludf.DUMMYFUNCTION("""COMPUTED_VALUE"""),"Z/S")</f>
        <v>Z/S</v>
      </c>
      <c r="G64" s="36"/>
      <c r="H64" s="203"/>
      <c r="I64" s="203"/>
      <c r="J64" s="203"/>
      <c r="K64" s="203"/>
      <c r="L64" s="203"/>
      <c r="M64" s="49"/>
    </row>
    <row r="65" spans="1:12" ht="14.25">
      <c r="A65" s="4" t="str">
        <f ca="1">IFERROR(__xludf.DUMMYFUNCTION("""COMPUTED_VALUE"""),"Aberta")</f>
        <v>Aberta</v>
      </c>
      <c r="B65" s="36"/>
      <c r="C65" s="36"/>
      <c r="D65" s="36" t="str">
        <f ca="1">IFERROR(__xludf.DUMMYFUNCTION("""COMPUTED_VALUE"""),"PL08")</f>
        <v>PL08</v>
      </c>
      <c r="E65" s="111" t="str">
        <f ca="1">IFERROR(__xludf.DUMMYFUNCTION("""COMPUTED_VALUE"""),"Olido")</f>
        <v>Olido</v>
      </c>
      <c r="F65" s="48" t="str">
        <f ca="1">IFERROR(__xludf.DUMMYFUNCTION("""COMPUTED_VALUE"""),"CENTRO")</f>
        <v>CENTRO</v>
      </c>
      <c r="H65" s="206" t="s">
        <v>1399</v>
      </c>
      <c r="I65" s="206" t="s">
        <v>1400</v>
      </c>
      <c r="J65" s="206"/>
      <c r="K65" s="206" t="s">
        <v>1401</v>
      </c>
      <c r="L65" s="206" t="s">
        <v>1402</v>
      </c>
    </row>
    <row r="66" spans="1:12" ht="14.25">
      <c r="A66" s="4" t="str">
        <f ca="1">IFERROR(__xludf.DUMMYFUNCTION("""COMPUTED_VALUE"""),"Aberta")</f>
        <v>Aberta</v>
      </c>
      <c r="B66" s="36"/>
      <c r="C66" s="36"/>
      <c r="D66" s="36" t="str">
        <f ca="1">IFERROR(__xludf.DUMMYFUNCTION("""COMPUTED_VALUE"""),"PL09")</f>
        <v>PL09</v>
      </c>
      <c r="E66" s="111" t="str">
        <f ca="1">IFERROR(__xludf.DUMMYFUNCTION("""COMPUTED_VALUE"""),"Graciliano Ramos")</f>
        <v>Graciliano Ramos</v>
      </c>
      <c r="F66" s="48" t="str">
        <f ca="1">IFERROR(__xludf.DUMMYFUNCTION("""COMPUTED_VALUE"""),"Z/S")</f>
        <v>Z/S</v>
      </c>
      <c r="H66" s="206"/>
      <c r="I66" s="206"/>
      <c r="J66" s="206"/>
      <c r="K66" s="206"/>
      <c r="L66" s="206"/>
    </row>
    <row r="67" spans="1:12" ht="14.25">
      <c r="A67" s="4" t="str">
        <f ca="1">IFERROR(__xludf.DUMMYFUNCTION("""COMPUTED_VALUE"""),"Aberta")</f>
        <v>Aberta</v>
      </c>
      <c r="B67" s="36"/>
      <c r="C67" s="36"/>
      <c r="D67" s="36" t="str">
        <f ca="1">IFERROR(__xludf.DUMMYFUNCTION("""COMPUTED_VALUE"""),"PL10")</f>
        <v>PL10</v>
      </c>
      <c r="E67" s="111" t="str">
        <f ca="1">IFERROR(__xludf.DUMMYFUNCTION("""COMPUTED_VALUE"""),"Jardim Lapenna")</f>
        <v>Jardim Lapenna</v>
      </c>
      <c r="F67" s="48" t="str">
        <f ca="1">IFERROR(__xludf.DUMMYFUNCTION("""COMPUTED_VALUE"""),"Z/L")</f>
        <v>Z/L</v>
      </c>
      <c r="H67" s="206"/>
      <c r="I67" s="206"/>
      <c r="J67" s="206"/>
      <c r="K67" s="206"/>
      <c r="L67" s="206"/>
    </row>
    <row r="68" spans="1:12" ht="14.25">
      <c r="A68" s="4" t="s">
        <v>300</v>
      </c>
      <c r="B68" s="36"/>
      <c r="C68" s="36"/>
      <c r="D68" s="36" t="str">
        <f ca="1">IFERROR(__xludf.DUMMYFUNCTION("""COMPUTED_VALUE"""),"PL11")</f>
        <v>PL11</v>
      </c>
      <c r="E68" s="111" t="str">
        <f ca="1">IFERROR(__xludf.DUMMYFUNCTION("""COMPUTED_VALUE"""),"Tide Setúbal")</f>
        <v>Tide Setúbal</v>
      </c>
      <c r="F68" s="48" t="str">
        <f ca="1">IFERROR(__xludf.DUMMYFUNCTION("""COMPUTED_VALUE"""),"Z/L")</f>
        <v>Z/L</v>
      </c>
      <c r="H68" s="206"/>
      <c r="I68" s="206"/>
      <c r="J68" s="206"/>
      <c r="K68" s="206"/>
      <c r="L68" s="206"/>
    </row>
    <row r="69" spans="1:12" ht="14.25">
      <c r="A69" s="4" t="str">
        <f ca="1">IFERROR(__xludf.DUMMYFUNCTION("""COMPUTED_VALUE"""),"Aberta")</f>
        <v>Aberta</v>
      </c>
      <c r="B69" s="36"/>
      <c r="C69" s="36"/>
      <c r="D69" s="36" t="str">
        <f ca="1">IFERROR(__xludf.DUMMYFUNCTION("""COMPUTED_VALUE"""),"PL12")</f>
        <v>PL12</v>
      </c>
      <c r="E69" s="111" t="str">
        <f ca="1">IFERROR(__xludf.DUMMYFUNCTION("""COMPUTED_VALUE"""),"Parque do Piqueri")</f>
        <v>Parque do Piqueri</v>
      </c>
      <c r="F69" s="48" t="str">
        <f ca="1">IFERROR(__xludf.DUMMYFUNCTION("""COMPUTED_VALUE"""),"Z/L")</f>
        <v>Z/L</v>
      </c>
      <c r="H69" s="206"/>
      <c r="I69" s="206"/>
      <c r="J69" s="206"/>
      <c r="K69" s="206"/>
      <c r="L69" s="206"/>
    </row>
    <row r="70" spans="1:12" ht="14.25">
      <c r="A70" s="4" t="str">
        <f ca="1">IFERROR(__xludf.DUMMYFUNCTION("""COMPUTED_VALUE"""),"Aberta")</f>
        <v>Aberta</v>
      </c>
      <c r="B70" s="36"/>
      <c r="C70" s="36"/>
      <c r="D70" s="36" t="str">
        <f ca="1">IFERROR(__xludf.DUMMYFUNCTION("""COMPUTED_VALUE"""),"PL13")</f>
        <v>PL13</v>
      </c>
      <c r="E70" s="111" t="str">
        <f ca="1">IFERROR(__xludf.DUMMYFUNCTION("""COMPUTED_VALUE"""),"Butantã")</f>
        <v>Butantã</v>
      </c>
      <c r="F70" s="48" t="str">
        <f ca="1">IFERROR(__xludf.DUMMYFUNCTION("""COMPUTED_VALUE"""),"Z/O")</f>
        <v>Z/O</v>
      </c>
      <c r="H70" s="206"/>
      <c r="I70" s="206"/>
      <c r="J70" s="206"/>
      <c r="K70" s="206"/>
      <c r="L70" s="206"/>
    </row>
    <row r="71" spans="1:12" ht="14.25">
      <c r="A71" s="4" t="str">
        <f ca="1">IFERROR(__xludf.DUMMYFUNCTION("""COMPUTED_VALUE"""),"Aberta")</f>
        <v>Aberta</v>
      </c>
      <c r="B71" s="36"/>
      <c r="C71" s="36"/>
      <c r="D71" s="36" t="str">
        <f ca="1">IFERROR(__xludf.DUMMYFUNCTION("""COMPUTED_VALUE"""),"PL14")</f>
        <v>PL14</v>
      </c>
      <c r="E71" s="111" t="str">
        <f ca="1">IFERROR(__xludf.DUMMYFUNCTION("""COMPUTED_VALUE"""),"Parque São Rafael")</f>
        <v>Parque São Rafael</v>
      </c>
      <c r="F71" s="48" t="str">
        <f ca="1">IFERROR(__xludf.DUMMYFUNCTION("""COMPUTED_VALUE"""),"Z/L")</f>
        <v>Z/L</v>
      </c>
      <c r="H71" s="206"/>
      <c r="I71" s="206"/>
      <c r="J71" s="206"/>
      <c r="K71" s="206"/>
      <c r="L71" s="206"/>
    </row>
    <row r="72" spans="1:12" ht="14.25">
      <c r="A72" s="4" t="str">
        <f ca="1">IFERROR(__xludf.DUMMYFUNCTION("""COMPUTED_VALUE"""),"Aberta")</f>
        <v>Aberta</v>
      </c>
      <c r="B72" s="36"/>
      <c r="C72" s="36"/>
      <c r="D72" s="36" t="str">
        <f ca="1">IFERROR(__xludf.DUMMYFUNCTION("""COMPUTED_VALUE"""),"PL15")</f>
        <v>PL15</v>
      </c>
      <c r="E72" s="111" t="str">
        <f ca="1">IFERROR(__xludf.DUMMYFUNCTION("""COMPUTED_VALUE"""),"Chácara do Jockey")</f>
        <v>Chácara do Jockey</v>
      </c>
      <c r="F72" s="48" t="str">
        <f ca="1">IFERROR(__xludf.DUMMYFUNCTION("""COMPUTED_VALUE"""),"Z/O")</f>
        <v>Z/O</v>
      </c>
      <c r="H72" s="206"/>
      <c r="I72" s="206"/>
      <c r="J72" s="206"/>
      <c r="K72" s="206"/>
      <c r="L72" s="206"/>
    </row>
    <row r="73" spans="1:12" ht="14.25">
      <c r="A73" s="4" t="str">
        <f ca="1">IFERROR(__xludf.DUMMYFUNCTION("""COMPUTED_VALUE"""),"Aberta")</f>
        <v>Aberta</v>
      </c>
      <c r="B73" s="36"/>
      <c r="C73" s="36"/>
      <c r="D73" s="36" t="str">
        <f ca="1">IFERROR(__xludf.DUMMYFUNCTION("""COMPUTED_VALUE"""),"PL16")</f>
        <v>PL16</v>
      </c>
      <c r="E73" s="111" t="str">
        <f ca="1">IFERROR(__xludf.DUMMYFUNCTION("""COMPUTED_VALUE"""),"Severino do Ramo")</f>
        <v>Severino do Ramo</v>
      </c>
      <c r="F73" s="48" t="str">
        <f ca="1">IFERROR(__xludf.DUMMYFUNCTION("""COMPUTED_VALUE"""),"Z/L")</f>
        <v>Z/L</v>
      </c>
      <c r="H73" s="206"/>
      <c r="I73" s="206"/>
      <c r="J73" s="206"/>
      <c r="K73" s="206"/>
      <c r="L73" s="206"/>
    </row>
    <row r="74" spans="1:12" ht="14.25">
      <c r="A74" s="4" t="str">
        <f ca="1">IFERROR(__xludf.DUMMYFUNCTION("""COMPUTED_VALUE"""),"Aberta")</f>
        <v>Aberta</v>
      </c>
      <c r="B74" s="36"/>
      <c r="C74" s="36"/>
      <c r="D74" s="36"/>
      <c r="E74" s="36" t="str">
        <f ca="1">IFERROR(__xludf.DUMMYFUNCTION("""COMPUTED_VALUE"""),"CineQuebrada")</f>
        <v>CineQuebrada</v>
      </c>
      <c r="F74" s="48" t="str">
        <f ca="1">IFERROR(__xludf.DUMMYFUNCTION("""COMPUTED_VALUE"""),"Z/L")</f>
        <v>Z/L</v>
      </c>
      <c r="H74" s="206"/>
      <c r="I74" s="206"/>
      <c r="J74" s="206"/>
      <c r="K74" s="206"/>
      <c r="L74" s="206"/>
    </row>
    <row r="75" spans="1:12" ht="14.25">
      <c r="A75" s="4" t="str">
        <f ca="1">IFERROR(__xludf.DUMMYFUNCTION("""COMPUTED_VALUE"""),"Aberta")</f>
        <v>Aberta</v>
      </c>
      <c r="B75" s="36"/>
      <c r="C75" s="36"/>
      <c r="D75" s="36"/>
      <c r="E75" s="36" t="str">
        <f ca="1">IFERROR(__xludf.DUMMYFUNCTION("""COMPUTED_VALUE"""),"Instituto Andorinhas Baltazar")</f>
        <v>Instituto Andorinhas Baltazar</v>
      </c>
      <c r="F75" s="48" t="str">
        <f ca="1">IFERROR(__xludf.DUMMYFUNCTION("""COMPUTED_VALUE"""),"Z/L")</f>
        <v>Z/L</v>
      </c>
      <c r="H75" s="206"/>
      <c r="I75" s="206"/>
      <c r="J75" s="206"/>
      <c r="K75" s="206"/>
      <c r="L75" s="206"/>
    </row>
  </sheetData>
  <protectedRanges>
    <protectedRange sqref="H18:L18" name="link"/>
    <protectedRange sqref="M13:Q13" name="link 2"/>
    <protectedRange sqref="H53" name="link3"/>
    <protectedRange sqref="B58:C75" name="Ponto de leitura Ststus"/>
    <protectedRange sqref="H58:L75" name="dms PL"/>
  </protectedRanges>
  <mergeCells count="5">
    <mergeCell ref="H18:L18"/>
    <mergeCell ref="A57:L57"/>
    <mergeCell ref="M13:Q13"/>
    <mergeCell ref="H53:L53"/>
    <mergeCell ref="B1:C1"/>
  </mergeCells>
  <conditionalFormatting sqref="A3:A56">
    <cfRule type="containsText" dxfId="8" priority="6" operator="containsText" text="Aberta">
      <formula>NOT(ISERROR(SEARCH("Aberta",A3)))</formula>
    </cfRule>
  </conditionalFormatting>
  <conditionalFormatting sqref="A3:A56">
    <cfRule type="containsText" dxfId="7" priority="5" operator="containsText" text="Reforma">
      <formula>NOT(ISERROR(SEARCH("Reforma",A3)))</formula>
    </cfRule>
  </conditionalFormatting>
  <conditionalFormatting sqref="A3:A56">
    <cfRule type="containsText" dxfId="6" priority="4" operator="containsText" text="Fechada">
      <formula>NOT(ISERROR(SEARCH("Fechada",A3)))</formula>
    </cfRule>
  </conditionalFormatting>
  <conditionalFormatting sqref="A58:A75">
    <cfRule type="containsText" dxfId="5" priority="3" operator="containsText" text="Aberta">
      <formula>NOT(ISERROR(SEARCH("Aberta",A58)))</formula>
    </cfRule>
  </conditionalFormatting>
  <conditionalFormatting sqref="A58:A75">
    <cfRule type="containsText" dxfId="4" priority="2" operator="containsText" text="Reforma">
      <formula>NOT(ISERROR(SEARCH("Reforma",A58)))</formula>
    </cfRule>
  </conditionalFormatting>
  <conditionalFormatting sqref="A58:A75">
    <cfRule type="containsText" dxfId="3" priority="1" operator="containsText" text="Fechada">
      <formula>NOT(ISERROR(SEARCH("Fechada",A58)))</formula>
    </cfRule>
  </conditionalFormatting>
  <dataValidations count="1">
    <dataValidation type="list" allowBlank="1" showErrorMessage="1" sqref="M57 A3:A587" xr:uid="{00000000-0002-0000-0200-000000000000}">
      <formula1>"Aberta,Fechada ,Reforma"</formula1>
    </dataValidation>
  </dataValidations>
  <hyperlinks>
    <hyperlink ref="E4" r:id="rId1" display="mailto:bcsp.aschmidt@prefeitura.sp.gov.br" xr:uid="{00000000-0004-0000-0200-000001000000}"/>
    <hyperlink ref="E5" r:id="rId2" display="mailto:bcsp.ataunay@prefeitura.sp.gov.br" xr:uid="{00000000-0004-0000-0200-000003000000}"/>
    <hyperlink ref="E6" r:id="rId3" display="mailto:bcsp.aalima@prefeitura.sp.gov.br" xr:uid="{00000000-0004-0000-0200-000004000000}"/>
    <hyperlink ref="E7" r:id="rId4" display="mailto:bcsp.aazevedo@prefeitura.sp.gov.br" xr:uid="{00000000-0004-0000-0200-000005000000}"/>
    <hyperlink ref="E8" r:id="rId5" display="mailto:bcsp.aguerra@frefeitura.sp.gov.br" xr:uid="{00000000-0004-0000-0200-000006000000}"/>
    <hyperlink ref="E9" r:id="rId6" display="mailto:bcsp.aamaral@prefeitura.sp.gov.br" xr:uid="{00000000-0004-0000-0200-000007000000}"/>
    <hyperlink ref="E10" r:id="rId7" display="mailto:bcsp.afrank@prefeitura.sp.gov.br" xr:uid="{00000000-0004-0000-0200-000008000000}"/>
    <hyperlink ref="E11" r:id="rId8" display="mailto:bcsp.amgiacomo@prefeitura.sp.gov.br" xr:uid="{00000000-0004-0000-0200-000009000000}"/>
    <hyperlink ref="E12" r:id="rId9" display="mailto:bcsp.aleite@prefeitura.sp.gov.br" xr:uid="{00000000-0004-0000-0200-00000A000000}"/>
    <hyperlink ref="E13" r:id="rId10" display="mailto:bcsp.belmonte@prefeitura.sp.gov.br" xr:uid="{00000000-0004-0000-0200-00000B000000}"/>
    <hyperlink ref="E14" r:id="rId11" display="mailto:bcsp.bbroca@prefeitura.sp.gov.br" xr:uid="{00000000-0004-0000-0200-00000C000000}"/>
    <hyperlink ref="E15" r:id="rId12" display="mailto:bcsp.ccesar@prefeitura.sp.gov.br" xr:uid="{00000000-0004-0000-0200-00000D000000}"/>
    <hyperlink ref="E16" r:id="rId13" display="mailto:bcsp.cricardo@prefeitura.sp.gov.br" xr:uid="{00000000-0004-0000-0200-00000E000000}"/>
    <hyperlink ref="E17" r:id="rId14" display="mailto:bcsp.calves@prefeitura.sp.gov.br" xr:uid="{00000000-0004-0000-0200-00000F000000}"/>
    <hyperlink ref="E18" r:id="rId15" display="mailto:bcsp.ccastelo@prefeitura.sp.gov.br" xr:uid="{00000000-0004-0000-0200-000010000000}"/>
    <hyperlink ref="E19" r:id="rId16" display="mailto:bcsp.clispector@prefeitura.sp.gov.br" xr:uid="{00000000-0004-0000-0200-000011000000}"/>
    <hyperlink ref="E20" r:id="rId17" display="mailto:bcsp.ccoralina@prefeitura.sp.gov.br" xr:uid="{00000000-0004-0000-0200-000012000000}"/>
    <hyperlink ref="E21" r:id="rId18" display="mailto:bcsp.everissimo@prefeitura.sp.gov.br" xr:uid="{00000000-0004-0000-0200-000013000000}"/>
    <hyperlink ref="E22" r:id="rId19" display="mailto:bcsp.gfreyre@prefeitura.sp.gov.br" xr:uid="{00000000-0004-0000-0200-000014000000}"/>
    <hyperlink ref="E23" r:id="rId20" display="mailto:bcsp.hcandersen@prefeitura.sp.gov.br" xr:uid="{00000000-0004-0000-0200-000015000000}"/>
    <hyperlink ref="E24" r:id="rId21" display="mailto:bcsp.hsilveira@prefeitura.sp.gov.br" xr:uid="{00000000-0004-0000-0200-000016000000}"/>
    <hyperlink ref="E25" r:id="rId22" display="mailto:bcsp.jahaddad@prefeitura.sp.gov.br" xr:uid="{00000000-0004-0000-0200-000017000000}"/>
    <hyperlink ref="E26" r:id="rId23" display="mailto:bcsp.jcortez@prefeitura.sp.gov.br" xr:uid="{00000000-0004-0000-0200-000018000000}"/>
    <hyperlink ref="E27" r:id="rId24" display="mailto:bcsp.jmvasconcelos@prefeitura.sp.gov.br" xr:uid="{00000000-0004-0000-0200-000019000000}"/>
    <hyperlink ref="E28" r:id="rId25" display="mailto:bcsp.josepaulopaes@prefeitura.sp.gov.br" xr:uid="{00000000-0004-0000-0200-00001A000000}"/>
    <hyperlink ref="E29" r:id="rId26" display="mailto:bcsp.jralvares@prefeitura.sp.gov.br" xr:uid="{00000000-0004-0000-0200-00001B000000}"/>
    <hyperlink ref="E30" r:id="rId27" display="mailto:bcsp.lenyrafraccaroli@prefeitura.sp.gov.br" xr:uid="{00000000-0004-0000-0200-00001C000000}"/>
    <hyperlink ref="E32" r:id="rId28" display="mailto:bcsp.mrey@prefeitura.sp.gov.br" xr:uid="{00000000-0004-0000-0200-00001E000000}"/>
    <hyperlink ref="E33" r:id="rId29" display="mailto:bcsp.mschenberg@prefeitura.sp.gov.br" xr:uid="{00000000-0004-0000-0200-00001F000000}"/>
    <hyperlink ref="E34" r:id="rId30" display="mailto:bcsp.mdelpicchia@prefeitura.sp.gov.br" xr:uid="{00000000-0004-0000-0200-000020000000}"/>
    <hyperlink ref="E35" r:id="rId31" display="mailto:bcsp.msantos@prefeitura.sp.gov.br" xr:uid="{00000000-0004-0000-0200-000021000000}"/>
    <hyperlink ref="E36" r:id="rId32" display="mailto:bcsp.mlobato@prefeitura.sp.gov.br" xr:uid="{00000000-0004-0000-0200-000022000000}"/>
    <hyperlink ref="E37" r:id="rId33" display="mailto:bcsp.nfontes@prefeitura.sp.gov.br" xr:uid="{00000000-0004-0000-0200-000023000000}"/>
    <hyperlink ref="E38" r:id="rId34" display="mailto:bcsp.nsantanna@prefeitura.sp.gov.br" xr:uid="{00000000-0004-0000-0200-000024000000}"/>
    <hyperlink ref="E39" r:id="rId35" display="mailto:bcsp.pjanchieta@prefeitura.sp.gov.br" xr:uid="{00000000-0004-0000-0200-000025000000}"/>
    <hyperlink ref="E40" r:id="rId36" display="mailto:bcsp.pduarte@prefeitura.sp.gov.br" xr:uid="{00000000-0004-0000-0200-000026000000}"/>
    <hyperlink ref="E41" r:id="rId37" display="mailto:bcsp.pmilliet@prefeitura.sp.gov.br" xr:uid="{00000000-0004-0000-0200-000027000000}"/>
    <hyperlink ref="E42" r:id="rId38" display="mailto:bcsp.psetubal@prefeitura.sp.gov.br" xr:uid="{00000000-0004-0000-0200-000028000000}"/>
    <hyperlink ref="E43" r:id="rId39" display="mailto:bcsp.pnava@prefeitura.sp.gov.br" xr:uid="{00000000-0004-0000-0200-000029000000}"/>
    <hyperlink ref="E44" r:id="rId40" display="mailto:bcsp.ppmaia@prefeitura.sp.gov.br" xr:uid="{00000000-0004-0000-0200-00002A000000}"/>
    <hyperlink ref="E45" r:id="rId41" display="mailto:bcsp.rmenezes@prefeitura.sp.gov.br" xr:uid="{00000000-0004-0000-0200-00002B000000}"/>
    <hyperlink ref="E46" r:id="rId42" display="mailto:bcsp.rbopp@prefeitura.sp.gov.br" xr:uid="{00000000-0004-0000-0200-00002C000000}"/>
    <hyperlink ref="E47" r:id="rId43" display="mailto:bcsp.rramos@prefeitura.sp.gov.br" xr:uid="{00000000-0004-0000-0200-00002D000000}"/>
    <hyperlink ref="E48" r:id="rId44" display="mailto:bcsp.rsantos@prefeitura.sp.gov.br" xr:uid="{00000000-0004-0000-0200-00002E000000}"/>
    <hyperlink ref="E49" r:id="rId45" display="mailto:bcsp.rbmorais@prefeitura.sp.gov.br" xr:uid="{00000000-0004-0000-0200-00002F000000}"/>
    <hyperlink ref="E50" r:id="rId46" display="mailto:bcsp.sbholanda@prefeitura.sp.gov.br" xr:uid="{00000000-0004-0000-0200-000030000000}"/>
    <hyperlink ref="E51" r:id="rId47" display="mailto:bcsp.sorthof@prefeitura.sp.gov.br" xr:uid="{00000000-0004-0000-0200-000031000000}"/>
    <hyperlink ref="E52" r:id="rId48" display="mailto:bcsp.tcandrade@prefeitura.sp.gov.br" xr:uid="{00000000-0004-0000-0200-000032000000}"/>
    <hyperlink ref="E53" r:id="rId49" display="mailto:bcsp.vcarvalho@PREFEITURA.SP.GOV.BR" xr:uid="{00000000-0004-0000-0200-000033000000}"/>
    <hyperlink ref="E54" r:id="rId50" display="mailto:bcsp.vpguimaraes@prefeitura.sp.gov.br" xr:uid="{00000000-0004-0000-0200-000034000000}"/>
    <hyperlink ref="E55" r:id="rId51" display="mailto:bcsp.vmorais@prefeitura.sp.gov.br" xr:uid="{00000000-0004-0000-0200-000035000000}"/>
    <hyperlink ref="E56" r:id="rId52" display="mailto:bcsp.vcorrea@prefeitura.sp.gov.br" xr:uid="{00000000-0004-0000-0200-000036000000}"/>
    <hyperlink ref="E58" r:id="rId53" display="http://plsp.avital@prefeitura.sp.gov.br/" xr:uid="{00000000-0004-0000-0200-000037000000}"/>
    <hyperlink ref="E59" r:id="rId54" display="http://plsp.jk@prefeitura.sp.gov.br/" xr:uid="{00000000-0004-0000-0200-000038000000}"/>
    <hyperlink ref="E60" r:id="rId55" display="http://plsp.pqrodeio@prefeitura.sp.gov.br/" xr:uid="{00000000-0004-0000-0200-000039000000}"/>
    <hyperlink ref="E61" r:id="rId56" display="http://plsp.vmara@prefeitura.sp.gov.br/" xr:uid="{00000000-0004-0000-0200-00003A000000}"/>
    <hyperlink ref="E62" r:id="rId57" display="http://plsp.pqanhanguera@prefeitura.sp.gov.br/" xr:uid="{00000000-0004-0000-0200-00003B000000}"/>
    <hyperlink ref="E63" r:id="rId58" display="http://plsp.bambuzal@prefeitura.sp.gov.br/" xr:uid="{00000000-0004-0000-0200-00003C000000}"/>
    <hyperlink ref="E64" r:id="rId59" display="http://plsp.cjesus@prefeitura.sp.gov.br/" xr:uid="{00000000-0004-0000-0200-00003D000000}"/>
    <hyperlink ref="E65" r:id="rId60" display="http://plsp.olido@prefeitura.sp.gov.br/" xr:uid="{00000000-0004-0000-0200-00003E000000}"/>
    <hyperlink ref="E66" r:id="rId61" display="mailto:plsp.gramos@prefeitura.sp.gov.br" xr:uid="{00000000-0004-0000-0200-00003F000000}"/>
    <hyperlink ref="E67" r:id="rId62" display="http://plsp.lapenna@prefeitura.sp.gov.br/" xr:uid="{00000000-0004-0000-0200-000040000000}"/>
    <hyperlink ref="E68" r:id="rId63" display="http://plsp.tsetubal@prefeitura.sp.gov.br/" xr:uid="{00000000-0004-0000-0200-000041000000}"/>
    <hyperlink ref="E69" r:id="rId64" display="http://plsp.pqpiqueri@prefeitura.sp.gov.br/" xr:uid="{00000000-0004-0000-0200-000042000000}"/>
    <hyperlink ref="E70" r:id="rId65" display="http://plsp.butanta@prefeitura.sp.gov.br/" xr:uid="{00000000-0004-0000-0200-000043000000}"/>
    <hyperlink ref="E71" r:id="rId66" display="mailto:plsp.srafael@prefeitura.sp.gov.br" xr:uid="{00000000-0004-0000-0200-000044000000}"/>
    <hyperlink ref="E72" r:id="rId67" display="http://plsp.cjockey@prefeitura.sp.gov.br/" xr:uid="{00000000-0004-0000-0200-000045000000}"/>
    <hyperlink ref="E73" r:id="rId68" display="http://plsp.sramo@prefeitura.sp.gov.br/" xr:uid="{00000000-0004-0000-0200-000046000000}"/>
    <hyperlink ref="E31" r:id="rId69" display="mailto:bcsp.mtahan@prefeitura.sp.gov.br" xr:uid="{00000000-0004-0000-0200-00001D000000}"/>
    <hyperlink ref="E3" r:id="rId70" display="mailto:bcsp.afigueiredo@prefeitura.sp.gov.br" xr:uid="{00000000-0004-0000-0200-000000000000}"/>
  </hyperlinks>
  <printOptions horizontalCentered="1" verticalCentered="1"/>
  <pageMargins left="0" right="0" top="0" bottom="0" header="0" footer="0"/>
  <pageSetup paperSize="8" scale="81" pageOrder="overThenDown" orientation="portrait" r:id="rId71"/>
  <drawing r:id="rId7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1B81-4C62-486C-A6AD-6AEB82C15869}">
  <sheetPr codeName="Planilha6"/>
  <dimension ref="A1:I64"/>
  <sheetViews>
    <sheetView topLeftCell="A40" workbookViewId="0">
      <selection activeCell="E57" sqref="E57:F57"/>
    </sheetView>
  </sheetViews>
  <sheetFormatPr defaultColWidth="0" defaultRowHeight="15.75" customHeight="1" zeroHeight="1"/>
  <cols>
    <col min="1" max="1" width="21.140625" customWidth="1"/>
    <col min="2" max="2" width="12.5703125" hidden="1"/>
    <col min="3" max="3" width="15.5703125" customWidth="1"/>
    <col min="4" max="4" width="48.28515625" customWidth="1"/>
    <col min="5" max="5" width="22.42578125" bestFit="1" customWidth="1"/>
    <col min="6" max="7" width="15.140625" style="242" customWidth="1"/>
    <col min="8" max="8" width="20.28515625" customWidth="1"/>
    <col min="9" max="9" width="0" hidden="1" customWidth="1"/>
  </cols>
  <sheetData>
    <row r="1" spans="1:9" ht="78" customHeight="1">
      <c r="A1" s="412"/>
      <c r="B1" s="413"/>
      <c r="C1" s="413"/>
      <c r="D1" s="413"/>
      <c r="E1" s="413"/>
      <c r="F1" s="413"/>
      <c r="G1" s="413"/>
      <c r="H1" s="413"/>
      <c r="I1" s="414"/>
    </row>
    <row r="2" spans="1:9">
      <c r="A2" s="50" t="s">
        <v>138</v>
      </c>
      <c r="B2" s="50" t="s">
        <v>1186</v>
      </c>
      <c r="C2" s="50" t="s">
        <v>1187</v>
      </c>
      <c r="D2" s="50" t="s">
        <v>141</v>
      </c>
      <c r="E2" s="50" t="s">
        <v>1403</v>
      </c>
      <c r="F2" s="50" t="s">
        <v>1404</v>
      </c>
      <c r="G2" s="50"/>
      <c r="H2" s="50" t="s">
        <v>1405</v>
      </c>
      <c r="I2" s="50" t="s">
        <v>1404</v>
      </c>
    </row>
    <row r="3" spans="1:9" ht="14.25">
      <c r="A3" s="178" t="str">
        <f>Geral!A4</f>
        <v>Reforma</v>
      </c>
      <c r="B3" s="6" t="s">
        <v>1196</v>
      </c>
      <c r="C3" s="6" t="s">
        <v>154</v>
      </c>
      <c r="D3" s="176" t="s">
        <v>155</v>
      </c>
      <c r="E3" s="290" t="s">
        <v>1406</v>
      </c>
      <c r="F3" s="288" t="s">
        <v>1407</v>
      </c>
      <c r="G3" s="336"/>
      <c r="H3" s="390"/>
      <c r="I3" s="392"/>
    </row>
    <row r="4" spans="1:9" ht="14.25">
      <c r="A4" s="4" t="str">
        <f>Geral!A5</f>
        <v>Aberta</v>
      </c>
      <c r="B4" s="6" t="s">
        <v>1196</v>
      </c>
      <c r="C4" s="6" t="s">
        <v>166</v>
      </c>
      <c r="D4" s="177" t="s">
        <v>167</v>
      </c>
      <c r="E4" s="284" t="s">
        <v>1408</v>
      </c>
      <c r="F4" s="287" t="s">
        <v>1409</v>
      </c>
      <c r="G4" s="337"/>
      <c r="H4" s="393"/>
      <c r="I4" s="395"/>
    </row>
    <row r="5" spans="1:9" ht="14.25">
      <c r="A5" s="4" t="str">
        <f>Geral!A6</f>
        <v>Reforma</v>
      </c>
      <c r="B5" s="6" t="s">
        <v>1196</v>
      </c>
      <c r="C5" s="6" t="s">
        <v>176</v>
      </c>
      <c r="D5" s="177" t="s">
        <v>1410</v>
      </c>
      <c r="E5" s="284" t="s">
        <v>1411</v>
      </c>
      <c r="F5" s="287" t="s">
        <v>1412</v>
      </c>
      <c r="G5" s="338"/>
      <c r="H5" s="396"/>
      <c r="I5" s="398"/>
    </row>
    <row r="6" spans="1:9" ht="14.25">
      <c r="A6" s="4" t="str">
        <f>Geral!A7</f>
        <v>Aberta</v>
      </c>
      <c r="B6" s="6" t="s">
        <v>1196</v>
      </c>
      <c r="C6" s="6" t="s">
        <v>186</v>
      </c>
      <c r="D6" s="177" t="s">
        <v>187</v>
      </c>
      <c r="E6" s="284" t="s">
        <v>1413</v>
      </c>
      <c r="F6" s="286" t="s">
        <v>1414</v>
      </c>
      <c r="G6" s="286" t="s">
        <v>1415</v>
      </c>
      <c r="H6" s="284" t="s">
        <v>1416</v>
      </c>
      <c r="I6" s="287" t="s">
        <v>1415</v>
      </c>
    </row>
    <row r="7" spans="1:9" ht="14.25">
      <c r="A7" s="4" t="str">
        <f>Geral!A8</f>
        <v>Aberta</v>
      </c>
      <c r="B7" s="6" t="s">
        <v>1196</v>
      </c>
      <c r="C7" s="6" t="s">
        <v>197</v>
      </c>
      <c r="D7" s="177" t="s">
        <v>198</v>
      </c>
      <c r="E7" s="291" t="s">
        <v>1417</v>
      </c>
      <c r="F7" s="287" t="s">
        <v>1418</v>
      </c>
      <c r="G7" s="339"/>
      <c r="H7" s="390"/>
      <c r="I7" s="392"/>
    </row>
    <row r="8" spans="1:9" ht="14.25">
      <c r="A8" s="4" t="str">
        <f>Geral!A9</f>
        <v>Aberta</v>
      </c>
      <c r="B8" s="6" t="s">
        <v>1196</v>
      </c>
      <c r="C8" s="6" t="s">
        <v>207</v>
      </c>
      <c r="D8" s="177" t="s">
        <v>208</v>
      </c>
      <c r="E8" s="284" t="s">
        <v>1419</v>
      </c>
      <c r="F8" s="287" t="s">
        <v>1420</v>
      </c>
      <c r="G8" s="337"/>
      <c r="H8" s="393"/>
      <c r="I8" s="395"/>
    </row>
    <row r="9" spans="1:9" ht="14.25">
      <c r="A9" s="4" t="str">
        <f>Geral!A10</f>
        <v>Aberta</v>
      </c>
      <c r="B9" s="6" t="s">
        <v>1196</v>
      </c>
      <c r="C9" s="6" t="s">
        <v>214</v>
      </c>
      <c r="D9" s="177" t="s">
        <v>215</v>
      </c>
      <c r="E9" s="284" t="s">
        <v>1421</v>
      </c>
      <c r="F9" s="287" t="s">
        <v>1422</v>
      </c>
      <c r="G9" s="337"/>
      <c r="H9" s="393"/>
      <c r="I9" s="395"/>
    </row>
    <row r="10" spans="1:9" ht="14.25">
      <c r="A10" s="4" t="str">
        <f>Geral!A11</f>
        <v>Aberta</v>
      </c>
      <c r="B10" s="6" t="s">
        <v>1196</v>
      </c>
      <c r="C10" s="6" t="s">
        <v>225</v>
      </c>
      <c r="D10" s="177" t="s">
        <v>226</v>
      </c>
      <c r="E10" s="284" t="s">
        <v>1423</v>
      </c>
      <c r="F10" s="286" t="s">
        <v>1424</v>
      </c>
      <c r="G10" s="340" t="s">
        <v>1425</v>
      </c>
      <c r="H10" s="393"/>
      <c r="I10" s="395"/>
    </row>
    <row r="11" spans="1:9" ht="14.25">
      <c r="A11" s="4" t="str">
        <f>Geral!A12</f>
        <v>Aberta</v>
      </c>
      <c r="B11" s="6" t="s">
        <v>1196</v>
      </c>
      <c r="C11" s="6" t="s">
        <v>235</v>
      </c>
      <c r="D11" s="177" t="s">
        <v>236</v>
      </c>
      <c r="E11" s="284" t="s">
        <v>1426</v>
      </c>
      <c r="F11" s="286" t="s">
        <v>1427</v>
      </c>
      <c r="G11" s="340"/>
      <c r="H11" s="393"/>
      <c r="I11" s="395"/>
    </row>
    <row r="12" spans="1:9" ht="16.5" customHeight="1">
      <c r="A12" s="4" t="str">
        <f>Geral!A13</f>
        <v>Aberta</v>
      </c>
      <c r="B12" s="6" t="s">
        <v>1196</v>
      </c>
      <c r="C12" s="6" t="s">
        <v>244</v>
      </c>
      <c r="D12" s="177" t="s">
        <v>245</v>
      </c>
      <c r="E12" s="284" t="s">
        <v>1428</v>
      </c>
      <c r="F12" s="286" t="s">
        <v>1429</v>
      </c>
      <c r="G12" s="341"/>
      <c r="H12" s="396"/>
      <c r="I12" s="398"/>
    </row>
    <row r="13" spans="1:9" ht="18">
      <c r="A13" s="4" t="str">
        <f>Geral!A14</f>
        <v>Aberta</v>
      </c>
      <c r="B13" s="6" t="s">
        <v>1196</v>
      </c>
      <c r="C13" s="6" t="s">
        <v>254</v>
      </c>
      <c r="D13" s="177" t="s">
        <v>255</v>
      </c>
      <c r="E13" s="405" t="s">
        <v>1430</v>
      </c>
      <c r="F13" s="405"/>
      <c r="G13" s="405"/>
      <c r="H13" s="405"/>
      <c r="I13" s="405"/>
    </row>
    <row r="14" spans="1:9" ht="14.25">
      <c r="A14" s="4" t="str">
        <f>Geral!A15</f>
        <v>Aberta</v>
      </c>
      <c r="B14" s="6" t="s">
        <v>1196</v>
      </c>
      <c r="C14" s="6" t="s">
        <v>264</v>
      </c>
      <c r="D14" s="177" t="s">
        <v>265</v>
      </c>
      <c r="E14" s="284" t="s">
        <v>1431</v>
      </c>
      <c r="F14" s="287" t="s">
        <v>1432</v>
      </c>
      <c r="G14" s="287" t="s">
        <v>1433</v>
      </c>
      <c r="H14" s="284" t="s">
        <v>1434</v>
      </c>
      <c r="I14" s="286" t="s">
        <v>1433</v>
      </c>
    </row>
    <row r="15" spans="1:9" ht="14.25">
      <c r="A15" s="4" t="str">
        <f>Geral!A16</f>
        <v>Aberta</v>
      </c>
      <c r="B15" s="6" t="s">
        <v>1196</v>
      </c>
      <c r="C15" s="6" t="s">
        <v>274</v>
      </c>
      <c r="D15" s="177" t="s">
        <v>275</v>
      </c>
      <c r="E15" s="293" t="s">
        <v>1435</v>
      </c>
      <c r="F15" s="287" t="s">
        <v>1436</v>
      </c>
      <c r="G15" s="339"/>
      <c r="H15" s="390"/>
      <c r="I15" s="392"/>
    </row>
    <row r="16" spans="1:9" ht="14.25">
      <c r="A16" s="4" t="str">
        <f>Geral!A17</f>
        <v>Aberta</v>
      </c>
      <c r="B16" s="6" t="s">
        <v>1196</v>
      </c>
      <c r="C16" s="305" t="s">
        <v>284</v>
      </c>
      <c r="D16" s="312" t="s">
        <v>285</v>
      </c>
      <c r="E16" s="313"/>
      <c r="F16" s="315"/>
      <c r="G16" s="342"/>
      <c r="H16" s="393"/>
      <c r="I16" s="395"/>
    </row>
    <row r="17" spans="1:9" ht="14.25">
      <c r="A17" s="4" t="str">
        <f>Geral!A18</f>
        <v>Aberta</v>
      </c>
      <c r="B17" s="6" t="s">
        <v>1196</v>
      </c>
      <c r="C17" s="6" t="s">
        <v>292</v>
      </c>
      <c r="D17" s="177" t="s">
        <v>293</v>
      </c>
      <c r="E17" s="294" t="s">
        <v>1437</v>
      </c>
      <c r="F17" s="286" t="s">
        <v>1438</v>
      </c>
      <c r="G17" s="341"/>
      <c r="H17" s="396"/>
      <c r="I17" s="398"/>
    </row>
    <row r="18" spans="1:9" ht="18">
      <c r="A18" s="4" t="str">
        <f>Geral!A19</f>
        <v xml:space="preserve">Fechada </v>
      </c>
      <c r="B18" s="6" t="s">
        <v>1256</v>
      </c>
      <c r="C18" s="6" t="s">
        <v>302</v>
      </c>
      <c r="D18" s="177" t="s">
        <v>303</v>
      </c>
      <c r="E18" s="405" t="s">
        <v>1430</v>
      </c>
      <c r="F18" s="405"/>
      <c r="G18" s="405"/>
      <c r="H18" s="405"/>
      <c r="I18" s="405"/>
    </row>
    <row r="19" spans="1:9" ht="14.25">
      <c r="A19" s="4" t="str">
        <f>Geral!A20</f>
        <v>Aberta</v>
      </c>
      <c r="B19" s="6" t="s">
        <v>1196</v>
      </c>
      <c r="C19" s="6" t="s">
        <v>312</v>
      </c>
      <c r="D19" s="177" t="s">
        <v>313</v>
      </c>
      <c r="E19" s="284" t="s">
        <v>1439</v>
      </c>
      <c r="F19" s="286" t="s">
        <v>1440</v>
      </c>
      <c r="G19" s="343"/>
      <c r="H19" s="406"/>
      <c r="I19" s="407"/>
    </row>
    <row r="20" spans="1:9" ht="14.25">
      <c r="A20" s="4" t="str">
        <f>Geral!A21</f>
        <v>Aberta</v>
      </c>
      <c r="B20" s="6" t="s">
        <v>1196</v>
      </c>
      <c r="C20" s="6" t="s">
        <v>322</v>
      </c>
      <c r="D20" s="177" t="s">
        <v>323</v>
      </c>
      <c r="E20" s="284" t="s">
        <v>1441</v>
      </c>
      <c r="F20" s="286" t="s">
        <v>1442</v>
      </c>
      <c r="G20" s="340"/>
      <c r="H20" s="408"/>
      <c r="I20" s="409"/>
    </row>
    <row r="21" spans="1:9" ht="14.25">
      <c r="A21" s="4" t="str">
        <f>Geral!A22</f>
        <v>Aberta</v>
      </c>
      <c r="B21" s="6" t="s">
        <v>1196</v>
      </c>
      <c r="C21" s="6" t="s">
        <v>332</v>
      </c>
      <c r="D21" s="177" t="s">
        <v>333</v>
      </c>
      <c r="E21" s="284" t="s">
        <v>1443</v>
      </c>
      <c r="F21" s="286" t="s">
        <v>1444</v>
      </c>
      <c r="G21" s="340"/>
      <c r="H21" s="408"/>
      <c r="I21" s="409"/>
    </row>
    <row r="22" spans="1:9" ht="14.25">
      <c r="A22" s="4" t="str">
        <f>Geral!A23</f>
        <v>Aberta</v>
      </c>
      <c r="B22" s="6" t="s">
        <v>1196</v>
      </c>
      <c r="C22" s="6" t="s">
        <v>341</v>
      </c>
      <c r="D22" s="177" t="s">
        <v>342</v>
      </c>
      <c r="E22" s="284" t="s">
        <v>1445</v>
      </c>
      <c r="F22" s="287" t="s">
        <v>1446</v>
      </c>
      <c r="G22" s="337"/>
      <c r="H22" s="408"/>
      <c r="I22" s="409"/>
    </row>
    <row r="23" spans="1:9" ht="14.25">
      <c r="A23" s="4" t="str">
        <f>Geral!A24</f>
        <v>Aberta</v>
      </c>
      <c r="B23" s="6" t="s">
        <v>1196</v>
      </c>
      <c r="C23" s="6" t="s">
        <v>350</v>
      </c>
      <c r="D23" s="177" t="s">
        <v>351</v>
      </c>
      <c r="E23" s="284" t="s">
        <v>1447</v>
      </c>
      <c r="F23" s="287" t="s">
        <v>1448</v>
      </c>
      <c r="G23" s="337"/>
      <c r="H23" s="408"/>
      <c r="I23" s="409"/>
    </row>
    <row r="24" spans="1:9" ht="14.25">
      <c r="A24" s="4" t="str">
        <f>Geral!A25</f>
        <v>Aberta</v>
      </c>
      <c r="B24" s="6" t="s">
        <v>1196</v>
      </c>
      <c r="C24" s="6" t="s">
        <v>357</v>
      </c>
      <c r="D24" s="177" t="s">
        <v>358</v>
      </c>
      <c r="E24" s="284" t="s">
        <v>1449</v>
      </c>
      <c r="F24" s="283" t="s">
        <v>1450</v>
      </c>
      <c r="G24" s="344"/>
      <c r="H24" s="408"/>
      <c r="I24" s="409"/>
    </row>
    <row r="25" spans="1:9" ht="14.25">
      <c r="A25" s="4" t="str">
        <f>Geral!A26</f>
        <v>Aberta</v>
      </c>
      <c r="B25" s="6" t="s">
        <v>1196</v>
      </c>
      <c r="C25" s="6" t="s">
        <v>367</v>
      </c>
      <c r="D25" s="177" t="s">
        <v>368</v>
      </c>
      <c r="E25" s="292" t="s">
        <v>1451</v>
      </c>
      <c r="F25" s="287" t="s">
        <v>1452</v>
      </c>
      <c r="G25" s="337"/>
      <c r="H25" s="408"/>
      <c r="I25" s="409"/>
    </row>
    <row r="26" spans="1:9" ht="14.25">
      <c r="A26" s="4" t="str">
        <f>Geral!A27</f>
        <v>Aberta</v>
      </c>
      <c r="B26" s="6" t="s">
        <v>1196</v>
      </c>
      <c r="C26" s="6" t="s">
        <v>374</v>
      </c>
      <c r="D26" s="177" t="s">
        <v>375</v>
      </c>
      <c r="E26" s="284" t="s">
        <v>1453</v>
      </c>
      <c r="F26" s="287" t="s">
        <v>1454</v>
      </c>
      <c r="G26" s="337"/>
      <c r="H26" s="408"/>
      <c r="I26" s="409"/>
    </row>
    <row r="27" spans="1:9" ht="14.25">
      <c r="A27" s="4" t="str">
        <f>Geral!A28</f>
        <v>Aberta</v>
      </c>
      <c r="B27" s="6" t="s">
        <v>1196</v>
      </c>
      <c r="C27" s="6" t="s">
        <v>384</v>
      </c>
      <c r="D27" s="177" t="s">
        <v>385</v>
      </c>
      <c r="E27" s="284" t="s">
        <v>1455</v>
      </c>
      <c r="F27" s="287" t="s">
        <v>1456</v>
      </c>
      <c r="G27" s="337"/>
      <c r="H27" s="408"/>
      <c r="I27" s="409"/>
    </row>
    <row r="28" spans="1:9" ht="14.25">
      <c r="A28" s="4" t="str">
        <f>Geral!A29</f>
        <v>Aberta</v>
      </c>
      <c r="B28" s="6" t="s">
        <v>1196</v>
      </c>
      <c r="C28" s="6" t="s">
        <v>394</v>
      </c>
      <c r="D28" s="177" t="s">
        <v>395</v>
      </c>
      <c r="E28" s="284" t="s">
        <v>1457</v>
      </c>
      <c r="F28" s="286" t="s">
        <v>1458</v>
      </c>
      <c r="G28" s="340"/>
      <c r="H28" s="408"/>
      <c r="I28" s="409"/>
    </row>
    <row r="29" spans="1:9" ht="14.25">
      <c r="A29" s="4" t="str">
        <f>Geral!A30</f>
        <v>Aberta</v>
      </c>
      <c r="B29" s="6" t="s">
        <v>1196</v>
      </c>
      <c r="C29" s="6" t="s">
        <v>404</v>
      </c>
      <c r="D29" s="177" t="s">
        <v>405</v>
      </c>
      <c r="E29" s="284" t="s">
        <v>1459</v>
      </c>
      <c r="F29" s="286" t="s">
        <v>1460</v>
      </c>
      <c r="G29" s="340"/>
      <c r="H29" s="408"/>
      <c r="I29" s="409"/>
    </row>
    <row r="30" spans="1:9" ht="14.25">
      <c r="A30" s="4" t="str">
        <f>Geral!A31</f>
        <v>Aberta</v>
      </c>
      <c r="B30" s="6" t="s">
        <v>1196</v>
      </c>
      <c r="C30" s="6" t="s">
        <v>413</v>
      </c>
      <c r="D30" s="175" t="s">
        <v>414</v>
      </c>
      <c r="E30" s="284" t="s">
        <v>1461</v>
      </c>
      <c r="F30" s="287" t="s">
        <v>1462</v>
      </c>
      <c r="G30" s="337"/>
      <c r="H30" s="408"/>
      <c r="I30" s="409"/>
    </row>
    <row r="31" spans="1:9" ht="14.25">
      <c r="A31" s="4" t="str">
        <f>Geral!A32</f>
        <v>Aberta</v>
      </c>
      <c r="B31" s="6" t="s">
        <v>1196</v>
      </c>
      <c r="C31" s="6" t="s">
        <v>423</v>
      </c>
      <c r="D31" s="175" t="s">
        <v>424</v>
      </c>
      <c r="E31" s="284" t="s">
        <v>1463</v>
      </c>
      <c r="F31" s="295" t="s">
        <v>1464</v>
      </c>
      <c r="G31" s="295"/>
      <c r="H31" s="408"/>
      <c r="I31" s="409"/>
    </row>
    <row r="32" spans="1:9" ht="15">
      <c r="A32" s="4" t="str">
        <f>Geral!A33</f>
        <v>Aberta</v>
      </c>
      <c r="B32" s="6" t="s">
        <v>1196</v>
      </c>
      <c r="C32" s="6" t="s">
        <v>433</v>
      </c>
      <c r="D32" s="175" t="s">
        <v>434</v>
      </c>
      <c r="E32" s="296" t="s">
        <v>1465</v>
      </c>
      <c r="F32" s="297" t="s">
        <v>1466</v>
      </c>
      <c r="G32" s="345"/>
      <c r="H32" s="408"/>
      <c r="I32" s="409"/>
    </row>
    <row r="33" spans="1:9" ht="14.25">
      <c r="A33" s="4" t="str">
        <f>Geral!A34</f>
        <v>Aberta</v>
      </c>
      <c r="B33" s="6" t="s">
        <v>1196</v>
      </c>
      <c r="C33" s="319" t="s">
        <v>442</v>
      </c>
      <c r="D33" s="175" t="s">
        <v>443</v>
      </c>
      <c r="E33" s="284" t="s">
        <v>1467</v>
      </c>
      <c r="F33" s="320" t="s">
        <v>1468</v>
      </c>
      <c r="G33" s="346"/>
      <c r="H33" s="408"/>
      <c r="I33" s="409"/>
    </row>
    <row r="34" spans="1:9" s="299" customFormat="1" ht="15">
      <c r="A34" s="4" t="str">
        <f>Geral!A35</f>
        <v>Aberta</v>
      </c>
      <c r="B34" s="298" t="s">
        <v>1196</v>
      </c>
      <c r="C34" s="305" t="s">
        <v>451</v>
      </c>
      <c r="D34" s="302" t="s">
        <v>452</v>
      </c>
      <c r="E34" s="303" t="s">
        <v>1469</v>
      </c>
      <c r="F34" s="304" t="s">
        <v>1470</v>
      </c>
      <c r="G34" s="347"/>
      <c r="H34" s="408"/>
      <c r="I34" s="409"/>
    </row>
    <row r="35" spans="1:9" ht="14.25">
      <c r="A35" s="4" t="str">
        <f>Geral!A36</f>
        <v>Aberta</v>
      </c>
      <c r="B35" s="6" t="s">
        <v>1196</v>
      </c>
      <c r="C35" s="6" t="s">
        <v>459</v>
      </c>
      <c r="D35" s="175" t="s">
        <v>460</v>
      </c>
      <c r="E35" s="293" t="s">
        <v>1471</v>
      </c>
      <c r="F35" s="306" t="s">
        <v>1472</v>
      </c>
      <c r="G35" s="337"/>
      <c r="H35" s="410"/>
      <c r="I35" s="411"/>
    </row>
    <row r="36" spans="1:9" ht="15">
      <c r="A36" s="4" t="str">
        <f>Geral!A37</f>
        <v>Aberta</v>
      </c>
      <c r="B36" s="6" t="s">
        <v>1196</v>
      </c>
      <c r="C36" s="305" t="s">
        <v>468</v>
      </c>
      <c r="D36" s="309" t="s">
        <v>469</v>
      </c>
      <c r="E36" s="310"/>
      <c r="F36" s="316" t="s">
        <v>1473</v>
      </c>
      <c r="G36" s="348"/>
      <c r="H36" s="311" t="s">
        <v>1474</v>
      </c>
      <c r="I36" s="304" t="s">
        <v>1475</v>
      </c>
    </row>
    <row r="37" spans="1:9" ht="14.25">
      <c r="A37" s="4" t="str">
        <f>Geral!A38</f>
        <v>Aberta</v>
      </c>
      <c r="B37" s="6" t="s">
        <v>1196</v>
      </c>
      <c r="C37" s="6" t="s">
        <v>479</v>
      </c>
      <c r="D37" s="175" t="s">
        <v>480</v>
      </c>
      <c r="E37" s="307" t="s">
        <v>1476</v>
      </c>
      <c r="F37" s="308" t="s">
        <v>1477</v>
      </c>
      <c r="G37" s="338"/>
      <c r="H37" s="399"/>
      <c r="I37" s="400"/>
    </row>
    <row r="38" spans="1:9" ht="14.25">
      <c r="A38" s="4" t="str">
        <f>Geral!A39</f>
        <v>Aberta</v>
      </c>
      <c r="B38" s="6" t="s">
        <v>1196</v>
      </c>
      <c r="C38" s="6" t="s">
        <v>489</v>
      </c>
      <c r="D38" s="175" t="s">
        <v>490</v>
      </c>
      <c r="E38" s="285" t="s">
        <v>1478</v>
      </c>
      <c r="F38" s="317" t="s">
        <v>1479</v>
      </c>
      <c r="G38" s="317"/>
      <c r="H38" s="284" t="s">
        <v>1480</v>
      </c>
      <c r="I38" s="286" t="s">
        <v>1481</v>
      </c>
    </row>
    <row r="39" spans="1:9" ht="14.25">
      <c r="A39" s="4" t="str">
        <f>Geral!A40</f>
        <v>Aberta</v>
      </c>
      <c r="B39" s="6" t="s">
        <v>1196</v>
      </c>
      <c r="C39" s="6" t="s">
        <v>497</v>
      </c>
      <c r="D39" s="175" t="s">
        <v>498</v>
      </c>
      <c r="E39" s="284" t="s">
        <v>1482</v>
      </c>
      <c r="F39" s="287" t="s">
        <v>1483</v>
      </c>
      <c r="G39" s="339"/>
      <c r="H39" s="390"/>
      <c r="I39" s="392"/>
    </row>
    <row r="40" spans="1:9" ht="14.25">
      <c r="A40" s="4" t="str">
        <f>Geral!A41</f>
        <v>Aberta</v>
      </c>
      <c r="B40" s="6" t="s">
        <v>1196</v>
      </c>
      <c r="C40" s="6" t="s">
        <v>507</v>
      </c>
      <c r="D40" s="175" t="s">
        <v>508</v>
      </c>
      <c r="E40" s="284" t="s">
        <v>1484</v>
      </c>
      <c r="F40" s="287" t="s">
        <v>1485</v>
      </c>
      <c r="G40" s="337"/>
      <c r="H40" s="393"/>
      <c r="I40" s="395"/>
    </row>
    <row r="41" spans="1:9" ht="14.25">
      <c r="A41" s="4" t="str">
        <f>Geral!A42</f>
        <v>Aberta</v>
      </c>
      <c r="B41" s="6" t="s">
        <v>1196</v>
      </c>
      <c r="C41" s="6" t="s">
        <v>516</v>
      </c>
      <c r="D41" s="175" t="s">
        <v>517</v>
      </c>
      <c r="E41" s="284" t="s">
        <v>1486</v>
      </c>
      <c r="F41" s="287" t="s">
        <v>1487</v>
      </c>
      <c r="G41" s="337"/>
      <c r="H41" s="393"/>
      <c r="I41" s="395"/>
    </row>
    <row r="42" spans="1:9" ht="14.25">
      <c r="A42" s="4" t="str">
        <f>Geral!A43</f>
        <v>Aberta</v>
      </c>
      <c r="B42" s="6" t="s">
        <v>1196</v>
      </c>
      <c r="C42" s="6" t="s">
        <v>524</v>
      </c>
      <c r="D42" s="175" t="s">
        <v>525</v>
      </c>
      <c r="E42" s="284" t="s">
        <v>1488</v>
      </c>
      <c r="F42" s="287" t="s">
        <v>1489</v>
      </c>
      <c r="G42" s="337"/>
      <c r="H42" s="393"/>
      <c r="I42" s="395"/>
    </row>
    <row r="43" spans="1:9" ht="14.25">
      <c r="A43" s="4" t="str">
        <f>Geral!A44</f>
        <v>Aberta</v>
      </c>
      <c r="B43" s="6" t="s">
        <v>1196</v>
      </c>
      <c r="C43" s="6" t="s">
        <v>531</v>
      </c>
      <c r="D43" s="175" t="s">
        <v>532</v>
      </c>
      <c r="E43" s="284" t="s">
        <v>1490</v>
      </c>
      <c r="F43" s="287" t="s">
        <v>1491</v>
      </c>
      <c r="G43" s="338"/>
      <c r="H43" s="396"/>
      <c r="I43" s="398"/>
    </row>
    <row r="44" spans="1:9" ht="14.25">
      <c r="A44" s="4" t="str">
        <f>Geral!A45</f>
        <v>Aberta</v>
      </c>
      <c r="B44" s="6" t="s">
        <v>1196</v>
      </c>
      <c r="C44" s="6" t="s">
        <v>540</v>
      </c>
      <c r="D44" s="175" t="s">
        <v>541</v>
      </c>
      <c r="E44" s="284" t="s">
        <v>1492</v>
      </c>
      <c r="F44" s="286" t="s">
        <v>1493</v>
      </c>
      <c r="G44" s="286" t="s">
        <v>1494</v>
      </c>
      <c r="H44" s="284" t="s">
        <v>1495</v>
      </c>
      <c r="I44" s="286" t="s">
        <v>1494</v>
      </c>
    </row>
    <row r="45" spans="1:9" ht="14.25">
      <c r="A45" s="4" t="str">
        <f>Geral!A46</f>
        <v>Aberta</v>
      </c>
      <c r="B45" s="6" t="s">
        <v>1196</v>
      </c>
      <c r="C45" s="6" t="s">
        <v>548</v>
      </c>
      <c r="D45" s="175" t="s">
        <v>549</v>
      </c>
      <c r="E45" s="284" t="s">
        <v>1496</v>
      </c>
      <c r="F45" s="287" t="s">
        <v>1497</v>
      </c>
      <c r="G45" s="339"/>
      <c r="H45" s="390"/>
      <c r="I45" s="392"/>
    </row>
    <row r="46" spans="1:9" ht="14.25">
      <c r="A46" s="4" t="str">
        <f>Geral!A47</f>
        <v>Aberta</v>
      </c>
      <c r="B46" s="6" t="s">
        <v>1196</v>
      </c>
      <c r="C46" s="6" t="s">
        <v>558</v>
      </c>
      <c r="D46" s="175" t="s">
        <v>559</v>
      </c>
      <c r="E46" s="284" t="s">
        <v>1498</v>
      </c>
      <c r="F46" s="286" t="s">
        <v>1499</v>
      </c>
      <c r="G46" s="341"/>
      <c r="H46" s="396"/>
      <c r="I46" s="398"/>
    </row>
    <row r="47" spans="1:9" ht="14.25">
      <c r="A47" s="4" t="str">
        <f>Geral!A48</f>
        <v>Aberta</v>
      </c>
      <c r="B47" s="6" t="s">
        <v>1196</v>
      </c>
      <c r="C47" s="6" t="s">
        <v>568</v>
      </c>
      <c r="D47" s="175" t="s">
        <v>569</v>
      </c>
      <c r="E47" s="284" t="s">
        <v>1500</v>
      </c>
      <c r="F47" s="286" t="s">
        <v>1501</v>
      </c>
      <c r="G47" s="286"/>
      <c r="H47" s="284" t="s">
        <v>1502</v>
      </c>
      <c r="I47" s="286" t="s">
        <v>1503</v>
      </c>
    </row>
    <row r="48" spans="1:9" ht="15">
      <c r="A48" s="4" t="str">
        <f>Geral!A49</f>
        <v>Aberta</v>
      </c>
      <c r="B48" s="6" t="s">
        <v>1196</v>
      </c>
      <c r="C48" s="305" t="s">
        <v>577</v>
      </c>
      <c r="D48" s="302" t="s">
        <v>578</v>
      </c>
      <c r="E48" s="303" t="s">
        <v>1504</v>
      </c>
      <c r="F48" s="304" t="s">
        <v>1505</v>
      </c>
      <c r="G48" s="304"/>
      <c r="H48" s="6"/>
      <c r="I48" s="6"/>
    </row>
    <row r="49" spans="1:9" ht="15">
      <c r="A49" s="4" t="str">
        <f>Geral!A50</f>
        <v>Aberta</v>
      </c>
      <c r="B49" s="6" t="s">
        <v>1196</v>
      </c>
      <c r="C49" s="6" t="s">
        <v>586</v>
      </c>
      <c r="D49" s="175" t="s">
        <v>587</v>
      </c>
      <c r="E49" s="301" t="s">
        <v>1506</v>
      </c>
      <c r="F49" s="318" t="s">
        <v>1507</v>
      </c>
      <c r="G49" s="318" t="s">
        <v>1508</v>
      </c>
      <c r="H49" s="334" t="s">
        <v>1509</v>
      </c>
      <c r="I49" s="304" t="s">
        <v>1507</v>
      </c>
    </row>
    <row r="50" spans="1:9" ht="14.25">
      <c r="A50" s="4" t="str">
        <f>Geral!A51</f>
        <v>Aberta</v>
      </c>
      <c r="B50" s="6" t="s">
        <v>1196</v>
      </c>
      <c r="C50" s="6" t="s">
        <v>596</v>
      </c>
      <c r="D50" s="175" t="s">
        <v>597</v>
      </c>
      <c r="E50" s="284" t="s">
        <v>1510</v>
      </c>
      <c r="F50" s="287" t="s">
        <v>1511</v>
      </c>
      <c r="G50" s="339"/>
      <c r="H50" s="390"/>
      <c r="I50" s="392"/>
    </row>
    <row r="51" spans="1:9" ht="14.25">
      <c r="A51" s="4" t="str">
        <f>Geral!A52</f>
        <v>Aberta</v>
      </c>
      <c r="B51" s="6" t="s">
        <v>1196</v>
      </c>
      <c r="C51" s="6" t="s">
        <v>606</v>
      </c>
      <c r="D51" s="175" t="s">
        <v>607</v>
      </c>
      <c r="E51" s="284" t="s">
        <v>1512</v>
      </c>
      <c r="F51" s="286" t="s">
        <v>1513</v>
      </c>
      <c r="G51" s="340"/>
      <c r="H51" s="393"/>
      <c r="I51" s="395"/>
    </row>
    <row r="52" spans="1:9" ht="14.25">
      <c r="A52" s="4" t="str">
        <f>Geral!A53</f>
        <v>Aberta</v>
      </c>
      <c r="B52" s="6" t="s">
        <v>1196</v>
      </c>
      <c r="C52" s="6" t="s">
        <v>615</v>
      </c>
      <c r="D52" s="175" t="s">
        <v>616</v>
      </c>
      <c r="E52" s="284" t="s">
        <v>1514</v>
      </c>
      <c r="F52" s="286" t="s">
        <v>1515</v>
      </c>
      <c r="G52" s="341"/>
      <c r="H52" s="396"/>
      <c r="I52" s="398"/>
    </row>
    <row r="53" spans="1:9" ht="18">
      <c r="A53" s="4" t="str">
        <f>Geral!A54</f>
        <v xml:space="preserve">Fechada </v>
      </c>
      <c r="B53" s="6" t="s">
        <v>1196</v>
      </c>
      <c r="C53" s="6" t="s">
        <v>624</v>
      </c>
      <c r="D53" s="175" t="s">
        <v>625</v>
      </c>
      <c r="E53" s="405" t="s">
        <v>1430</v>
      </c>
      <c r="F53" s="405"/>
      <c r="G53" s="405"/>
      <c r="H53" s="405"/>
      <c r="I53" s="405"/>
    </row>
    <row r="54" spans="1:9" ht="15">
      <c r="A54" s="4" t="str">
        <f>Geral!A55</f>
        <v>Aberta</v>
      </c>
      <c r="B54" s="6" t="s">
        <v>1196</v>
      </c>
      <c r="C54" s="305" t="s">
        <v>633</v>
      </c>
      <c r="D54" s="302" t="s">
        <v>634</v>
      </c>
      <c r="E54" s="303" t="s">
        <v>1516</v>
      </c>
      <c r="F54" s="304" t="s">
        <v>1517</v>
      </c>
      <c r="G54" s="349"/>
      <c r="H54" s="390"/>
      <c r="I54" s="392"/>
    </row>
    <row r="55" spans="1:9" ht="14.25">
      <c r="A55" s="4" t="str">
        <f>Geral!A56</f>
        <v>Aberta</v>
      </c>
      <c r="B55" s="6" t="s">
        <v>1196</v>
      </c>
      <c r="C55" s="6" t="s">
        <v>642</v>
      </c>
      <c r="D55" s="175" t="s">
        <v>643</v>
      </c>
      <c r="E55" s="300" t="s">
        <v>1518</v>
      </c>
      <c r="F55" s="287" t="s">
        <v>1519</v>
      </c>
      <c r="G55" s="338" t="s">
        <v>1519</v>
      </c>
      <c r="H55" s="396"/>
      <c r="I55" s="398"/>
    </row>
    <row r="56" spans="1:9" ht="14.25">
      <c r="A56" s="4" t="str">
        <f>Geral!A57</f>
        <v>Aberta</v>
      </c>
      <c r="B56" s="6" t="s">
        <v>1196</v>
      </c>
      <c r="C56" s="6" t="s">
        <v>651</v>
      </c>
      <c r="D56" s="175" t="s">
        <v>1520</v>
      </c>
      <c r="E56" s="399" t="s">
        <v>1521</v>
      </c>
      <c r="F56" s="400"/>
      <c r="G56" s="333" t="s">
        <v>1522</v>
      </c>
      <c r="H56" s="284" t="s">
        <v>1523</v>
      </c>
      <c r="I56" s="287" t="s">
        <v>1524</v>
      </c>
    </row>
    <row r="57" spans="1:9" ht="15">
      <c r="A57" s="390"/>
      <c r="B57" s="391"/>
      <c r="C57" s="392"/>
      <c r="D57" s="38" t="s">
        <v>1525</v>
      </c>
      <c r="E57" s="399"/>
      <c r="F57" s="400"/>
      <c r="G57" s="333"/>
      <c r="H57" s="303" t="s">
        <v>1526</v>
      </c>
      <c r="I57" s="304" t="s">
        <v>1527</v>
      </c>
    </row>
    <row r="58" spans="1:9" ht="14.25">
      <c r="A58" s="393"/>
      <c r="B58" s="394"/>
      <c r="C58" s="395"/>
      <c r="D58" s="38" t="s">
        <v>1528</v>
      </c>
      <c r="E58" s="289" t="s">
        <v>1529</v>
      </c>
      <c r="F58" s="288" t="s">
        <v>1530</v>
      </c>
      <c r="G58" s="336"/>
      <c r="H58" s="401"/>
      <c r="I58" s="402"/>
    </row>
    <row r="59" spans="1:9" ht="14.25">
      <c r="A59" s="393"/>
      <c r="B59" s="394"/>
      <c r="C59" s="395"/>
      <c r="D59" s="51" t="s">
        <v>1531</v>
      </c>
      <c r="E59" s="284" t="s">
        <v>1532</v>
      </c>
      <c r="F59" s="287" t="s">
        <v>1533</v>
      </c>
      <c r="G59" s="338"/>
      <c r="H59" s="403"/>
      <c r="I59" s="404"/>
    </row>
    <row r="60" spans="1:9" ht="14.25">
      <c r="A60" s="393"/>
      <c r="B60" s="394"/>
      <c r="C60" s="395"/>
      <c r="D60" s="51" t="s">
        <v>1534</v>
      </c>
      <c r="E60" s="290" t="s">
        <v>1535</v>
      </c>
      <c r="F60" s="314" t="s">
        <v>1536</v>
      </c>
      <c r="G60" s="314"/>
      <c r="H60" s="284" t="s">
        <v>1537</v>
      </c>
      <c r="I60" s="286" t="s">
        <v>1538</v>
      </c>
    </row>
    <row r="61" spans="1:9" ht="14.25">
      <c r="A61" s="393"/>
      <c r="B61" s="394"/>
      <c r="C61" s="395"/>
      <c r="D61" s="51" t="s">
        <v>1539</v>
      </c>
      <c r="E61" s="284" t="s">
        <v>1540</v>
      </c>
      <c r="F61" s="287" t="s">
        <v>1541</v>
      </c>
      <c r="G61" s="287"/>
      <c r="H61" s="284" t="s">
        <v>1542</v>
      </c>
      <c r="I61" s="286" t="s">
        <v>1543</v>
      </c>
    </row>
    <row r="62" spans="1:9" ht="14.25">
      <c r="A62" s="393"/>
      <c r="B62" s="394"/>
      <c r="C62" s="395"/>
      <c r="D62" s="51" t="s">
        <v>1544</v>
      </c>
      <c r="E62" s="284" t="s">
        <v>1545</v>
      </c>
      <c r="F62" s="286" t="s">
        <v>1546</v>
      </c>
      <c r="G62" s="343"/>
      <c r="H62" s="390"/>
      <c r="I62" s="392"/>
    </row>
    <row r="63" spans="1:9" ht="14.25">
      <c r="A63" s="396"/>
      <c r="B63" s="397"/>
      <c r="C63" s="398"/>
      <c r="D63" s="51" t="s">
        <v>1547</v>
      </c>
      <c r="E63" s="284" t="s">
        <v>1548</v>
      </c>
      <c r="F63" s="286" t="s">
        <v>1549</v>
      </c>
      <c r="G63" s="341"/>
      <c r="H63" s="396"/>
      <c r="I63" s="398"/>
    </row>
    <row r="64" spans="1:9" ht="15.75" customHeight="1"/>
  </sheetData>
  <protectedRanges>
    <protectedRange sqref="E39:E48 E50:E52 E19:E24 E26:E35 E37" name="NS2"/>
    <protectedRange sqref="E58:E63 E54:E55" name="NS3"/>
    <protectedRange sqref="H6 H14 H36 H38 H44 H47 H50:I52 H56:H57 H60:H61" name="NSCOLOR"/>
    <protectedRange sqref="A3:A56" name="Status"/>
  </protectedRanges>
  <mergeCells count="18">
    <mergeCell ref="E18:I18"/>
    <mergeCell ref="H19:I35"/>
    <mergeCell ref="H37:I37"/>
    <mergeCell ref="H39:I43"/>
    <mergeCell ref="A1:I1"/>
    <mergeCell ref="H3:I5"/>
    <mergeCell ref="H7:I12"/>
    <mergeCell ref="E13:I13"/>
    <mergeCell ref="H15:I17"/>
    <mergeCell ref="A57:C63"/>
    <mergeCell ref="E57:F57"/>
    <mergeCell ref="H58:I59"/>
    <mergeCell ref="H62:I63"/>
    <mergeCell ref="H45:I46"/>
    <mergeCell ref="H50:I52"/>
    <mergeCell ref="E53:I53"/>
    <mergeCell ref="H54:I55"/>
    <mergeCell ref="E56:F56"/>
  </mergeCells>
  <conditionalFormatting sqref="A3:A56">
    <cfRule type="containsText" dxfId="2" priority="3" operator="containsText" text="Aberta">
      <formula>NOT(ISERROR(SEARCH("Aberta",A3)))</formula>
    </cfRule>
  </conditionalFormatting>
  <conditionalFormatting sqref="A3:A56">
    <cfRule type="containsText" dxfId="1" priority="2" operator="containsText" text="Reforma">
      <formula>NOT(ISERROR(SEARCH("Reforma",A3)))</formula>
    </cfRule>
  </conditionalFormatting>
  <conditionalFormatting sqref="A3:A56">
    <cfRule type="containsText" dxfId="0" priority="1" operator="containsText" text="Fechada">
      <formula>NOT(ISERROR(SEARCH("Fechada",A3)))</formula>
    </cfRule>
  </conditionalFormatting>
  <dataValidations count="1">
    <dataValidation type="list" allowBlank="1" showErrorMessage="1" sqref="A3:A56" xr:uid="{EC179D9D-F68C-40B6-A4A7-17679ACC464B}">
      <formula1>"Aberta,Fechada ,Reforma"</formula1>
    </dataValidation>
  </dataValidations>
  <hyperlinks>
    <hyperlink ref="F3" r:id="rId1" xr:uid="{3BF58715-F0A4-4E1B-8734-73E352992E1E}"/>
    <hyperlink ref="F4" r:id="rId2" xr:uid="{DAD702A1-A37F-49E0-AACE-0B7E895C29FE}"/>
    <hyperlink ref="F5" r:id="rId3" xr:uid="{D9C977B2-1AF8-4287-BF68-C98ABAFEE4A2}"/>
    <hyperlink ref="F6" r:id="rId4" xr:uid="{118D7F68-D49D-44F6-BEAF-6BC2498CB59B}"/>
    <hyperlink ref="I6" r:id="rId5" xr:uid="{4FD43C2C-4FB0-4C4E-80B9-3F4AD0D625B4}"/>
    <hyperlink ref="F7" r:id="rId6" xr:uid="{A59434CF-D5EC-4FC4-AD6E-13247D7901C5}"/>
    <hyperlink ref="F8" r:id="rId7" xr:uid="{E8695E6C-D46A-4BE2-92C5-32718A0EC56F}"/>
    <hyperlink ref="F9" r:id="rId8" xr:uid="{111B7FD4-016D-4D5A-9777-EB493EB85D2E}"/>
    <hyperlink ref="F10" r:id="rId9" xr:uid="{557AADFE-536A-43D6-BBF8-8774B82678C5}"/>
    <hyperlink ref="F11" r:id="rId10" xr:uid="{00744D96-F053-4398-BDED-A278928E1CFA}"/>
    <hyperlink ref="F12" r:id="rId11" xr:uid="{8688DD0D-E0CB-430B-98E0-42F0E2BA742F}"/>
    <hyperlink ref="F14" r:id="rId12" xr:uid="{4C9CE079-7AE4-44F4-B2D2-0BB886326627}"/>
    <hyperlink ref="I14" r:id="rId13" xr:uid="{B4A9D56C-8A7D-4D5E-8884-49DED249ABB6}"/>
    <hyperlink ref="F15" r:id="rId14" xr:uid="{E0342A31-2F4A-4E4F-9843-2C615732BD27}"/>
    <hyperlink ref="F17" r:id="rId15" xr:uid="{1B3A7774-6588-4069-8D8B-611FB233204D}"/>
    <hyperlink ref="F19" r:id="rId16" xr:uid="{F83486E8-C232-4EF3-8BBB-8B21724C737B}"/>
    <hyperlink ref="F20" r:id="rId17" xr:uid="{9CC4E8CC-5839-4649-8012-8DCFBCAD6CC4}"/>
    <hyperlink ref="F21" r:id="rId18" xr:uid="{E4D4F05A-302F-46B4-8474-E66E5F850514}"/>
    <hyperlink ref="F22" r:id="rId19" xr:uid="{9D3C1C6D-AFC2-4A71-B914-A4EA5A65397B}"/>
    <hyperlink ref="F23" r:id="rId20" xr:uid="{CE21A455-A2C3-41C2-B675-66557D7F7C71}"/>
    <hyperlink ref="F24" r:id="rId21" xr:uid="{4366D42E-4BC8-4FE1-AE74-1953EB665EAB}"/>
    <hyperlink ref="F25" r:id="rId22" xr:uid="{7919302B-C267-4BD6-A483-59CE7DD20439}"/>
    <hyperlink ref="F26" r:id="rId23" xr:uid="{60A57E80-17BD-4FB4-B480-ACEBBD0A47B8}"/>
    <hyperlink ref="F27" r:id="rId24" xr:uid="{763B18EA-BB38-4F14-B691-1835C753DFBF}"/>
    <hyperlink ref="F28" r:id="rId25" xr:uid="{9180DABA-B51A-41C1-A47F-C7ED8082BF15}"/>
    <hyperlink ref="F29" r:id="rId26" xr:uid="{2E0FB3B4-872B-4056-9543-527A1CBCAB8B}"/>
    <hyperlink ref="F30" r:id="rId27" xr:uid="{2F0CCF19-C842-4859-BFC3-423EC1D62C80}"/>
    <hyperlink ref="F32" r:id="rId28" xr:uid="{9E572174-581E-4AA3-B5C3-705A0DCD81F8}"/>
    <hyperlink ref="F33" r:id="rId29" xr:uid="{62838307-ED10-473B-9D0C-25218BDA333B}"/>
    <hyperlink ref="F34" r:id="rId30" xr:uid="{C6688A3A-8143-4308-93E0-2CCCA154E894}"/>
    <hyperlink ref="F35" r:id="rId31" xr:uid="{CF022C0E-64F9-442F-87B9-0980154DDE54}"/>
    <hyperlink ref="I36" r:id="rId32" xr:uid="{372CFBC3-4CE5-44C9-AD93-92D0ECD1707F}"/>
    <hyperlink ref="F37" r:id="rId33" xr:uid="{F70446D7-085A-4152-A68E-0240A6B5242C}"/>
    <hyperlink ref="I38" r:id="rId34" xr:uid="{7CB25FA2-DE3B-4400-953F-611F759BC710}"/>
    <hyperlink ref="F39" r:id="rId35" xr:uid="{7E3F2834-B952-4231-940E-10E27B04CEFD}"/>
    <hyperlink ref="F40" r:id="rId36" xr:uid="{F2050408-5A99-42D6-8A87-948228EE0F3F}"/>
    <hyperlink ref="F41" r:id="rId37" xr:uid="{F19BB6FE-0894-47F2-AD29-CE15A1E703C7}"/>
    <hyperlink ref="F42" r:id="rId38" xr:uid="{237E8C2D-5032-4A58-92A3-DF1D1F555919}"/>
    <hyperlink ref="F43" r:id="rId39" xr:uid="{9CB3AF74-249F-4B14-9B3F-87617B3F8C37}"/>
    <hyperlink ref="F44" r:id="rId40" xr:uid="{45523670-590C-42D1-8BD7-C4DD809ACE4C}"/>
    <hyperlink ref="I44" r:id="rId41" xr:uid="{67638FEA-260B-4362-873F-3016F1085736}"/>
    <hyperlink ref="F45" r:id="rId42" xr:uid="{45BEE571-C1AB-4F02-9C8C-5C825B779511}"/>
    <hyperlink ref="F46" r:id="rId43" xr:uid="{B656C33E-B691-41B4-8EBA-CBB2E2B6EA0D}"/>
    <hyperlink ref="F47" r:id="rId44" xr:uid="{07CB2AC5-6DFC-42CE-AD51-4991673EC2C9}"/>
    <hyperlink ref="I47" r:id="rId45" xr:uid="{49741EA1-3221-4809-A888-4BC757538D86}"/>
    <hyperlink ref="F48" r:id="rId46" xr:uid="{B79BEAB3-60E2-4201-96B4-2A23E18E235A}"/>
    <hyperlink ref="I49" r:id="rId47" xr:uid="{56D2D3AE-5551-4827-AB6C-4F5ABCC13975}"/>
    <hyperlink ref="F50" r:id="rId48" xr:uid="{85395BA9-737F-41D3-882B-AA667B479424}"/>
    <hyperlink ref="F51" r:id="rId49" xr:uid="{6E11DB0C-BEF7-4FDA-A7D9-37AE2D7BF783}"/>
    <hyperlink ref="F52" r:id="rId50" xr:uid="{A31197B0-1C9D-4C19-83BB-D418394C35AA}"/>
    <hyperlink ref="F54" r:id="rId51" xr:uid="{B6D1D884-7823-4D89-BC66-7A8308AC659E}"/>
    <hyperlink ref="F55" r:id="rId52" xr:uid="{0BACF0A8-CF84-4277-A85E-FFB450099BC4}"/>
    <hyperlink ref="I56" r:id="rId53" xr:uid="{AAA907B1-9B4C-44DB-B49C-FB43BDC4D865}"/>
    <hyperlink ref="I57" r:id="rId54" xr:uid="{91130317-3DFA-4086-92FE-4945D9B56BDC}"/>
    <hyperlink ref="F58" r:id="rId55" xr:uid="{833C84FF-B22D-4E01-B356-556E0A829D9E}"/>
    <hyperlink ref="F59" r:id="rId56" xr:uid="{9CACFD31-9485-470D-B1BE-4A5EA736F73A}"/>
    <hyperlink ref="F60" r:id="rId57" xr:uid="{DD782EAA-52AA-48F9-9606-60F2CD72EFD8}"/>
    <hyperlink ref="I60" r:id="rId58" xr:uid="{1ADE465B-FB09-45E0-97A9-40432E31A43F}"/>
    <hyperlink ref="F61" r:id="rId59" xr:uid="{ABD2F84E-816F-4762-8FCC-3388A3280272}"/>
    <hyperlink ref="I61" r:id="rId60" xr:uid="{A78F6F10-BF77-471C-9A5E-A54EE1F9774E}"/>
    <hyperlink ref="F63" r:id="rId61" xr:uid="{FA072BD3-4EBC-4AAD-AF5D-3D067EE1CD57}"/>
    <hyperlink ref="D4" r:id="rId62" xr:uid="{D75C38F1-E176-4A66-8CFD-9ABF0D4015E3}"/>
    <hyperlink ref="D5" r:id="rId63" display="Biblioteca Affonso Taunay" xr:uid="{75A31246-08AE-4C00-83B5-24F28F0D1A21}"/>
    <hyperlink ref="D6" r:id="rId64" xr:uid="{997B49AD-63D7-4EF7-B54B-5B92A2AFB96F}"/>
    <hyperlink ref="D7" r:id="rId65" xr:uid="{D4950B95-D2A6-46F4-83E6-6F49D4451F57}"/>
    <hyperlink ref="D8" r:id="rId66" xr:uid="{F20AB42A-903B-4991-8149-3380B5864A2C}"/>
    <hyperlink ref="D9" r:id="rId67" xr:uid="{A251C368-6941-4ED2-96E8-22C66B8821D5}"/>
    <hyperlink ref="D10" r:id="rId68" xr:uid="{4A0AF39A-A24A-40CD-A87C-CBA131540801}"/>
    <hyperlink ref="D11" r:id="rId69" xr:uid="{B0EBF9FC-C123-4ABA-93A5-FFB24809385A}"/>
    <hyperlink ref="D12" r:id="rId70" xr:uid="{B9BAC106-EC72-45EF-A681-55519A190499}"/>
    <hyperlink ref="D13" r:id="rId71" xr:uid="{E61F9537-B624-4B5B-8589-66D0D6F83DCF}"/>
    <hyperlink ref="D14" r:id="rId72" xr:uid="{6F148E64-FD26-470F-93F6-B1BD05EEE668}"/>
    <hyperlink ref="D15" r:id="rId73" xr:uid="{4174FFCB-23BB-4406-ADAE-7B1168806A73}"/>
    <hyperlink ref="D16" r:id="rId74" xr:uid="{9ADCF02D-F406-42A8-89FB-BE12270D4863}"/>
    <hyperlink ref="D17" r:id="rId75" xr:uid="{241BD691-941E-4ADB-BB4E-94BD5CEE470E}"/>
    <hyperlink ref="D18" r:id="rId76" xr:uid="{B9126D89-B279-4CEB-82BA-100B956E355B}"/>
    <hyperlink ref="D19" r:id="rId77" xr:uid="{4E715FA8-693C-458C-B43A-A7C698C19201}"/>
    <hyperlink ref="D20" r:id="rId78" xr:uid="{549E10EA-F3F6-40E5-93B2-2C7CCE9F50C8}"/>
    <hyperlink ref="D21" r:id="rId79" xr:uid="{A0CB9802-4C03-4D3C-9AFD-929D84DAC9B6}"/>
    <hyperlink ref="D22" r:id="rId80" xr:uid="{6A55908D-4044-4880-90AC-8D0815AFB879}"/>
    <hyperlink ref="D23" r:id="rId81" xr:uid="{76F51E3F-7A56-40AA-8C70-5069D35681B9}"/>
    <hyperlink ref="D24" r:id="rId82" xr:uid="{CF58FD01-BD50-4B51-AAF6-989B9383557F}"/>
    <hyperlink ref="D25" r:id="rId83" xr:uid="{14301CA8-43B9-4633-A1B8-80205D854316}"/>
    <hyperlink ref="D26" r:id="rId84" xr:uid="{BEE815BC-2F93-483F-988E-8C71FC66F2B4}"/>
    <hyperlink ref="D27" r:id="rId85" xr:uid="{4C0E21A0-6652-43F2-881A-76816D5E38D6}"/>
    <hyperlink ref="D28" r:id="rId86" xr:uid="{43D53A6A-413D-4823-B151-253C9B335E6A}"/>
    <hyperlink ref="D29" r:id="rId87" xr:uid="{8A20A482-0B5F-4433-9350-060189F93397}"/>
    <hyperlink ref="D30" r:id="rId88" xr:uid="{09B0BDF1-BA4F-4899-8B53-B058A5BDA9FC}"/>
    <hyperlink ref="D31" r:id="rId89" xr:uid="{C6900012-68C8-4E72-AA35-C352D33204B1}"/>
    <hyperlink ref="D32" r:id="rId90" xr:uid="{AAADA516-D392-4805-A14D-A32E9FDA93CB}"/>
    <hyperlink ref="D33" r:id="rId91" xr:uid="{61366FE7-347F-458B-AFE2-9F23A96ACE71}"/>
    <hyperlink ref="D34" r:id="rId92" xr:uid="{C931D2EC-CA77-4A0D-AEC7-3DA9B4630B99}"/>
    <hyperlink ref="D35" r:id="rId93" display="Bibilioteca Milton Santos" xr:uid="{A0F81A64-768C-41A9-8504-C30E9AC85EEC}"/>
    <hyperlink ref="D36" r:id="rId94" xr:uid="{C512DC8B-51FA-4787-8F6D-0DA86A173FB4}"/>
    <hyperlink ref="D37" r:id="rId95" xr:uid="{0DC42EB3-E7FC-4976-AF98-948BB4D7E625}"/>
    <hyperlink ref="D38" r:id="rId96" xr:uid="{8DC59A92-9982-435A-8697-FCB6033CEF12}"/>
    <hyperlink ref="D39" r:id="rId97" xr:uid="{3439A065-C0F2-4C24-81A1-B0E49BA946D9}"/>
    <hyperlink ref="D40" r:id="rId98" xr:uid="{8FC2E5B2-141A-4ED3-B6B6-8C06A3B66EF2}"/>
    <hyperlink ref="D41" r:id="rId99" xr:uid="{5A74D24A-2A9A-427B-8310-1478D2900CEB}"/>
    <hyperlink ref="D42" r:id="rId100" xr:uid="{DFE2D818-62A2-4607-A4BC-2DDF3AEA7FC3}"/>
    <hyperlink ref="D43" r:id="rId101" xr:uid="{A236FC3E-01BA-4F37-9249-D5F364E9000C}"/>
    <hyperlink ref="D44" r:id="rId102" xr:uid="{62DAAEF9-8869-4605-AC23-191BC3C4FCB1}"/>
    <hyperlink ref="D45" r:id="rId103" xr:uid="{71D0C981-8830-4934-83F1-94EA4F788C19}"/>
    <hyperlink ref="D46" r:id="rId104" xr:uid="{71A439AB-AD36-4D13-A473-59E0DB6B3B69}"/>
    <hyperlink ref="D47" r:id="rId105" xr:uid="{B7E03B0C-A6EA-468E-9503-C235057438D2}"/>
    <hyperlink ref="D48" r:id="rId106" xr:uid="{E9F09785-79A8-4A8E-9608-1E3567F11C10}"/>
    <hyperlink ref="D49" r:id="rId107" xr:uid="{7D1F6280-18B8-4803-8B4E-1B57B93E3D21}"/>
    <hyperlink ref="D50" r:id="rId108" xr:uid="{AE005383-4BFE-46C1-B72B-A5EFDEDE6881}"/>
    <hyperlink ref="D51" r:id="rId109" xr:uid="{2C88B9D7-102B-4786-91F3-1DEF128C532A}"/>
    <hyperlink ref="D52" r:id="rId110" xr:uid="{4C234C66-79EF-408A-85B1-6D7F3EDD537D}"/>
    <hyperlink ref="D53" r:id="rId111" xr:uid="{66A6BA38-787E-4AFC-8DC6-7691556DEFF3}"/>
    <hyperlink ref="D54" r:id="rId112" xr:uid="{54C0A247-2B6B-451F-9BA2-BC936015D6F6}"/>
    <hyperlink ref="D55" r:id="rId113" xr:uid="{8D849C08-3FF9-486C-871D-3537526FF706}"/>
    <hyperlink ref="D56" r:id="rId114" xr:uid="{49800200-2970-4710-9E9A-AC6C5B9415DD}"/>
    <hyperlink ref="F38" r:id="rId115" xr:uid="{930AC17A-6EE7-4DF2-9E58-830024E66DF4}"/>
    <hyperlink ref="F62" r:id="rId116" xr:uid="{962A389C-6394-4E6B-BCC4-FBEA21A75C3B}"/>
    <hyperlink ref="F31" r:id="rId117" xr:uid="{0013F33F-36AD-40AD-9235-90D5AF711628}"/>
    <hyperlink ref="F49" r:id="rId118" xr:uid="{AE7ADA45-1675-4E55-898F-519DF96517E7}"/>
    <hyperlink ref="H49" r:id="rId119" xr:uid="{62FBB85D-7504-407A-AD60-FE72E156DA09}"/>
  </hyperlinks>
  <pageMargins left="0.511811024" right="0.511811024" top="0.78740157499999996" bottom="0.78740157499999996" header="0.31496062000000002" footer="0.31496062000000002"/>
  <drawing r:id="rId120"/>
  <legacyDrawing r:id="rId12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>
    <outlinePr summaryBelow="0" summaryRight="0"/>
  </sheetPr>
  <dimension ref="A1:J26"/>
  <sheetViews>
    <sheetView showGridLines="0" workbookViewId="0">
      <pane ySplit="1" topLeftCell="A10" activePane="bottomLeft" state="frozen"/>
      <selection pane="bottomLeft" activeCell="H16" sqref="H16"/>
    </sheetView>
  </sheetViews>
  <sheetFormatPr defaultColWidth="0" defaultRowHeight="0" customHeight="1" zeroHeight="1"/>
  <cols>
    <col min="1" max="1" width="40.42578125" style="115" customWidth="1"/>
    <col min="2" max="2" width="42.42578125" style="115" customWidth="1"/>
    <col min="3" max="3" width="36.140625" style="115" customWidth="1"/>
    <col min="4" max="4" width="17.85546875" style="115" customWidth="1"/>
    <col min="5" max="5" width="27.85546875" style="115" customWidth="1"/>
    <col min="6" max="6" width="24.85546875" style="115" customWidth="1"/>
    <col min="7" max="7" width="20.7109375" style="115" customWidth="1"/>
    <col min="8" max="8" width="20.140625" style="115" customWidth="1"/>
    <col min="9" max="10" width="15.28515625" style="115" customWidth="1"/>
    <col min="11" max="16384" width="0" style="115" hidden="1"/>
  </cols>
  <sheetData>
    <row r="1" spans="1:10" ht="91.5" customHeight="1">
      <c r="A1" s="415" t="str">
        <f ca="1">IFERROR(__xludf.DUMMYFUNCTION("IMPORTRANGE(""1yxvnKk2gGDNIuz1R2GHLCP8UcRSEEAymvl41zLhKjMs"",""Dados de Rede!A1"")"),"")</f>
        <v/>
      </c>
      <c r="B1" s="416"/>
      <c r="C1" s="416"/>
      <c r="D1" s="416"/>
      <c r="E1" s="416"/>
      <c r="F1" s="416"/>
      <c r="G1" s="416"/>
      <c r="H1" s="416"/>
      <c r="I1" s="416"/>
      <c r="J1" s="416"/>
    </row>
    <row r="2" spans="1:10" ht="12.75">
      <c r="A2" s="417" t="s">
        <v>1550</v>
      </c>
      <c r="B2" s="418"/>
      <c r="C2" s="418"/>
      <c r="D2" s="418"/>
      <c r="E2" s="419"/>
      <c r="F2" s="420" t="s">
        <v>1551</v>
      </c>
      <c r="G2" s="421"/>
      <c r="H2" s="421"/>
      <c r="I2" s="421"/>
      <c r="J2" s="422"/>
    </row>
    <row r="3" spans="1:10" ht="15.75">
      <c r="A3" s="116" t="s">
        <v>1552</v>
      </c>
      <c r="B3" s="117" t="s">
        <v>1553</v>
      </c>
      <c r="C3" s="117" t="s">
        <v>1554</v>
      </c>
      <c r="D3" s="118" t="s">
        <v>1555</v>
      </c>
      <c r="E3" s="119" t="s">
        <v>1556</v>
      </c>
      <c r="F3" s="120" t="s">
        <v>1557</v>
      </c>
      <c r="G3" s="120"/>
      <c r="H3" s="120" t="s">
        <v>1554</v>
      </c>
      <c r="I3" s="120" t="s">
        <v>1555</v>
      </c>
      <c r="J3" s="121" t="s">
        <v>1556</v>
      </c>
    </row>
    <row r="4" spans="1:10" ht="28.5">
      <c r="A4" s="122" t="s">
        <v>1558</v>
      </c>
      <c r="B4" s="114" t="s">
        <v>1559</v>
      </c>
      <c r="C4" s="113"/>
      <c r="D4" s="123"/>
      <c r="E4" s="124" t="s">
        <v>1560</v>
      </c>
      <c r="F4" s="125" t="s">
        <v>1561</v>
      </c>
      <c r="G4" s="125"/>
      <c r="H4" s="113" t="s">
        <v>1562</v>
      </c>
      <c r="I4" s="113" t="s">
        <v>1563</v>
      </c>
      <c r="J4" s="126" t="s">
        <v>1564</v>
      </c>
    </row>
    <row r="5" spans="1:10" ht="14.25">
      <c r="A5" s="122" t="s">
        <v>1565</v>
      </c>
      <c r="B5" s="113"/>
      <c r="C5" s="127" t="s">
        <v>1566</v>
      </c>
      <c r="D5" s="128" t="s">
        <v>1567</v>
      </c>
      <c r="E5" s="124"/>
      <c r="F5" s="125" t="s">
        <v>1568</v>
      </c>
      <c r="G5" s="125"/>
      <c r="H5" s="113" t="s">
        <v>1562</v>
      </c>
      <c r="I5" s="113" t="s">
        <v>1563</v>
      </c>
      <c r="J5" s="126"/>
    </row>
    <row r="6" spans="1:10" ht="14.25">
      <c r="A6" s="122" t="s">
        <v>1569</v>
      </c>
      <c r="B6" s="113"/>
      <c r="C6" s="129" t="s">
        <v>1566</v>
      </c>
      <c r="D6" s="130" t="s">
        <v>1570</v>
      </c>
      <c r="E6" s="126"/>
      <c r="F6" s="131" t="s">
        <v>1571</v>
      </c>
      <c r="G6" s="131"/>
      <c r="H6" s="132"/>
      <c r="I6" s="132"/>
      <c r="J6" s="133"/>
    </row>
    <row r="7" spans="1:10" ht="14.25">
      <c r="A7" s="134" t="s">
        <v>1572</v>
      </c>
      <c r="B7" s="135" t="s">
        <v>1573</v>
      </c>
      <c r="C7" s="136"/>
      <c r="D7" s="113"/>
      <c r="E7" s="126"/>
      <c r="F7" s="137"/>
      <c r="G7" s="137"/>
      <c r="H7" s="137"/>
      <c r="I7" s="137"/>
      <c r="J7" s="138"/>
    </row>
    <row r="8" spans="1:10" ht="14.25">
      <c r="A8" s="122" t="s">
        <v>1574</v>
      </c>
      <c r="B8" s="139"/>
      <c r="C8" s="113" t="s">
        <v>1562</v>
      </c>
      <c r="D8" s="113" t="s">
        <v>1563</v>
      </c>
      <c r="E8" s="126"/>
      <c r="F8" s="423" t="s">
        <v>1575</v>
      </c>
      <c r="G8" s="418"/>
      <c r="H8" s="418"/>
      <c r="I8" s="418"/>
      <c r="J8" s="419"/>
    </row>
    <row r="9" spans="1:10" ht="14.25">
      <c r="A9" s="122" t="s">
        <v>1576</v>
      </c>
      <c r="B9" s="113"/>
      <c r="C9" s="335" t="s">
        <v>1577</v>
      </c>
      <c r="D9" s="113" t="s">
        <v>1578</v>
      </c>
      <c r="E9" s="126" t="s">
        <v>1579</v>
      </c>
      <c r="F9" s="424" t="s">
        <v>1580</v>
      </c>
      <c r="G9" s="425"/>
      <c r="H9" s="425"/>
      <c r="I9" s="425"/>
      <c r="J9" s="426"/>
    </row>
    <row r="10" spans="1:10" ht="79.5" customHeight="1">
      <c r="A10" s="122" t="s">
        <v>1581</v>
      </c>
      <c r="B10" s="113"/>
      <c r="C10" s="140" t="s">
        <v>1582</v>
      </c>
      <c r="D10" s="46" t="s">
        <v>1583</v>
      </c>
      <c r="E10" s="124"/>
      <c r="F10" s="424" t="s">
        <v>1584</v>
      </c>
      <c r="G10" s="425"/>
      <c r="H10" s="425"/>
      <c r="I10" s="425"/>
      <c r="J10" s="426"/>
    </row>
    <row r="11" spans="1:10" ht="14.25">
      <c r="A11" s="122" t="s">
        <v>1585</v>
      </c>
      <c r="B11" s="113"/>
      <c r="C11" s="113" t="s">
        <v>1586</v>
      </c>
      <c r="D11" s="113"/>
      <c r="E11" s="126" t="s">
        <v>1587</v>
      </c>
      <c r="F11" s="431" t="s">
        <v>1588</v>
      </c>
      <c r="G11" s="432"/>
      <c r="H11" s="432"/>
      <c r="I11" s="432"/>
      <c r="J11" s="433"/>
    </row>
    <row r="12" spans="1:10" ht="27.75" customHeight="1">
      <c r="A12" s="122" t="s">
        <v>1589</v>
      </c>
      <c r="B12" s="268" t="s">
        <v>1590</v>
      </c>
      <c r="C12" s="113"/>
      <c r="D12" s="113"/>
      <c r="E12" s="126"/>
      <c r="F12" s="434" t="s">
        <v>1591</v>
      </c>
      <c r="G12" s="425"/>
      <c r="H12" s="425"/>
      <c r="I12" s="425"/>
      <c r="J12" s="426"/>
    </row>
    <row r="13" spans="1:10" ht="15">
      <c r="A13" s="122" t="s">
        <v>1592</v>
      </c>
      <c r="B13" s="141"/>
      <c r="C13" s="125" t="s">
        <v>1593</v>
      </c>
      <c r="D13" s="113" t="s">
        <v>1570</v>
      </c>
      <c r="E13" s="126" t="s">
        <v>1594</v>
      </c>
      <c r="F13" s="142" t="s">
        <v>1591</v>
      </c>
      <c r="G13" s="143" t="s">
        <v>1595</v>
      </c>
      <c r="H13" s="257" t="s">
        <v>1596</v>
      </c>
      <c r="I13" s="144" t="s">
        <v>1597</v>
      </c>
      <c r="J13" s="145" t="s">
        <v>1555</v>
      </c>
    </row>
    <row r="14" spans="1:10" ht="14.25">
      <c r="A14" s="122" t="s">
        <v>1598</v>
      </c>
      <c r="B14" s="113"/>
      <c r="C14" s="113" t="s">
        <v>1562</v>
      </c>
      <c r="D14" s="113" t="s">
        <v>1563</v>
      </c>
      <c r="E14" s="126"/>
      <c r="F14" s="146" t="s">
        <v>1599</v>
      </c>
      <c r="G14" s="252"/>
      <c r="H14" s="251" t="s">
        <v>1600</v>
      </c>
      <c r="I14" s="147" t="s">
        <v>1601</v>
      </c>
      <c r="J14" s="148" t="s">
        <v>1570</v>
      </c>
    </row>
    <row r="15" spans="1:10" ht="14.25">
      <c r="A15" s="122" t="s">
        <v>1602</v>
      </c>
      <c r="B15" s="113"/>
      <c r="C15" s="113" t="s">
        <v>1603</v>
      </c>
      <c r="D15" s="113" t="s">
        <v>1570</v>
      </c>
      <c r="E15" s="126"/>
      <c r="F15" s="149" t="s">
        <v>1561</v>
      </c>
      <c r="G15" s="253" t="s">
        <v>1604</v>
      </c>
      <c r="H15" s="251" t="s">
        <v>1604</v>
      </c>
      <c r="I15" s="139" t="s">
        <v>1605</v>
      </c>
      <c r="J15" s="124" t="s">
        <v>1570</v>
      </c>
    </row>
    <row r="16" spans="1:10" ht="14.25">
      <c r="A16" s="427" t="s">
        <v>1606</v>
      </c>
      <c r="B16" s="113"/>
      <c r="C16" s="113"/>
      <c r="D16" s="113"/>
      <c r="E16" s="429" t="s">
        <v>1607</v>
      </c>
      <c r="F16" s="149" t="s">
        <v>1608</v>
      </c>
      <c r="G16" s="350" t="s">
        <v>1609</v>
      </c>
      <c r="H16" s="350" t="s">
        <v>1609</v>
      </c>
      <c r="I16" s="139" t="s">
        <v>1605</v>
      </c>
      <c r="J16" s="124" t="s">
        <v>1570</v>
      </c>
    </row>
    <row r="17" spans="1:10" ht="14.25">
      <c r="A17" s="428"/>
      <c r="B17" s="113"/>
      <c r="C17" s="113"/>
      <c r="D17" s="113"/>
      <c r="E17" s="430"/>
      <c r="F17" s="150" t="s">
        <v>1610</v>
      </c>
      <c r="G17" s="254"/>
      <c r="H17" s="251" t="s">
        <v>1611</v>
      </c>
      <c r="I17" s="139" t="s">
        <v>1605</v>
      </c>
      <c r="J17" s="124" t="s">
        <v>1570</v>
      </c>
    </row>
    <row r="18" spans="1:10" ht="14.25">
      <c r="A18" s="151" t="s">
        <v>1612</v>
      </c>
      <c r="B18" s="130"/>
      <c r="C18" s="113" t="s">
        <v>1562</v>
      </c>
      <c r="D18" s="113" t="s">
        <v>1563</v>
      </c>
      <c r="E18" s="126"/>
      <c r="F18" s="152" t="s">
        <v>1613</v>
      </c>
      <c r="G18" s="255" t="s">
        <v>1614</v>
      </c>
      <c r="H18" s="251" t="s">
        <v>1611</v>
      </c>
      <c r="I18" s="256" t="s">
        <v>1605</v>
      </c>
      <c r="J18" s="153" t="s">
        <v>1570</v>
      </c>
    </row>
    <row r="19" spans="1:10" ht="14.25">
      <c r="A19" s="154" t="s">
        <v>1615</v>
      </c>
      <c r="B19" s="155"/>
      <c r="C19" s="220" t="s">
        <v>834</v>
      </c>
      <c r="D19" s="113" t="s">
        <v>1616</v>
      </c>
      <c r="E19" s="156"/>
      <c r="F19" s="157" t="s">
        <v>1565</v>
      </c>
      <c r="G19" s="255" t="s">
        <v>1617</v>
      </c>
      <c r="H19" s="251" t="s">
        <v>1611</v>
      </c>
      <c r="I19" s="139" t="s">
        <v>1605</v>
      </c>
      <c r="J19" s="124" t="s">
        <v>1570</v>
      </c>
    </row>
    <row r="20" spans="1:10" ht="14.25">
      <c r="A20" s="122"/>
      <c r="B20" s="155"/>
      <c r="C20" s="220"/>
      <c r="D20" s="113"/>
      <c r="E20" s="156"/>
      <c r="F20" s="157" t="s">
        <v>1618</v>
      </c>
      <c r="G20" s="350" t="s">
        <v>1609</v>
      </c>
      <c r="H20" s="350" t="s">
        <v>1609</v>
      </c>
      <c r="I20" s="139" t="s">
        <v>1605</v>
      </c>
      <c r="J20" s="124" t="s">
        <v>1570</v>
      </c>
    </row>
    <row r="21" spans="1:10" ht="14.25">
      <c r="A21" s="122" t="s">
        <v>1619</v>
      </c>
      <c r="B21" s="141"/>
      <c r="C21" s="141"/>
      <c r="D21" s="141"/>
      <c r="E21" s="156"/>
      <c r="F21" s="157"/>
      <c r="G21" s="157"/>
      <c r="H21" s="130"/>
      <c r="I21" s="136"/>
      <c r="J21" s="124"/>
    </row>
    <row r="22" spans="1:10" ht="14.25">
      <c r="A22" s="122" t="s">
        <v>1620</v>
      </c>
      <c r="B22" s="141"/>
      <c r="C22" s="141"/>
      <c r="D22" s="141"/>
      <c r="E22" s="156"/>
      <c r="F22" s="157" t="s">
        <v>1621</v>
      </c>
      <c r="G22" s="25" t="s">
        <v>1622</v>
      </c>
      <c r="H22" s="46" t="s">
        <v>1623</v>
      </c>
      <c r="I22" s="136" t="s">
        <v>1624</v>
      </c>
      <c r="J22" s="124" t="s">
        <v>1625</v>
      </c>
    </row>
    <row r="23" spans="1:10" ht="57">
      <c r="A23" s="122" t="s">
        <v>1626</v>
      </c>
      <c r="B23" s="141"/>
      <c r="C23" s="113" t="s">
        <v>1627</v>
      </c>
      <c r="D23" s="113" t="s">
        <v>1563</v>
      </c>
      <c r="E23" s="156"/>
      <c r="F23" s="157" t="s">
        <v>1628</v>
      </c>
      <c r="G23" s="157"/>
      <c r="H23" s="25"/>
      <c r="I23" s="136" t="s">
        <v>1629</v>
      </c>
      <c r="J23" s="124" t="s">
        <v>1630</v>
      </c>
    </row>
    <row r="24" spans="1:10" ht="14.25">
      <c r="A24" s="258"/>
      <c r="B24" s="259"/>
      <c r="C24" s="260"/>
      <c r="D24" s="260"/>
      <c r="E24" s="261"/>
      <c r="F24" s="262"/>
      <c r="G24" s="262"/>
      <c r="H24" s="263"/>
      <c r="I24" s="264"/>
      <c r="J24" s="265"/>
    </row>
    <row r="25" spans="1:10" ht="28.5">
      <c r="A25" s="258" t="s">
        <v>1631</v>
      </c>
      <c r="B25" s="259"/>
      <c r="C25" s="260"/>
      <c r="D25" s="260"/>
      <c r="E25" s="261" t="s">
        <v>1632</v>
      </c>
      <c r="F25" s="262"/>
      <c r="G25" s="262"/>
      <c r="H25" s="263"/>
      <c r="I25" s="264"/>
      <c r="J25" s="265"/>
    </row>
    <row r="26" spans="1:10" ht="14.25">
      <c r="A26" s="158" t="s">
        <v>1633</v>
      </c>
      <c r="B26" s="132"/>
      <c r="C26" s="132" t="s">
        <v>1634</v>
      </c>
      <c r="D26" s="132" t="s">
        <v>1635</v>
      </c>
      <c r="E26" s="133"/>
      <c r="F26" s="159" t="s">
        <v>1636</v>
      </c>
      <c r="G26" s="159"/>
      <c r="H26" s="160" t="s">
        <v>1637</v>
      </c>
      <c r="I26" s="161" t="s">
        <v>1566</v>
      </c>
      <c r="J26" s="162" t="s">
        <v>1570</v>
      </c>
    </row>
  </sheetData>
  <mergeCells count="10">
    <mergeCell ref="A16:A17"/>
    <mergeCell ref="E16:E17"/>
    <mergeCell ref="F10:J10"/>
    <mergeCell ref="F11:J11"/>
    <mergeCell ref="F12:J12"/>
    <mergeCell ref="A1:J1"/>
    <mergeCell ref="A2:E2"/>
    <mergeCell ref="F2:J2"/>
    <mergeCell ref="F8:J8"/>
    <mergeCell ref="F9:J9"/>
  </mergeCells>
  <hyperlinks>
    <hyperlink ref="A4" r:id="rId1" xr:uid="{00000000-0004-0000-0400-000000000000}"/>
    <hyperlink ref="F4" r:id="rId2" xr:uid="{00000000-0004-0000-0400-000001000000}"/>
    <hyperlink ref="A5" r:id="rId3" xr:uid="{00000000-0004-0000-0400-000002000000}"/>
    <hyperlink ref="F5" r:id="rId4" xr:uid="{00000000-0004-0000-0400-000003000000}"/>
    <hyperlink ref="A6" r:id="rId5" xr:uid="{00000000-0004-0000-0400-000004000000}"/>
    <hyperlink ref="F6" r:id="rId6" xr:uid="{00000000-0004-0000-0400-000005000000}"/>
    <hyperlink ref="B7" r:id="rId7" xr:uid="{00000000-0004-0000-0400-000006000000}"/>
    <hyperlink ref="A8" r:id="rId8" xr:uid="{00000000-0004-0000-0400-000007000000}"/>
    <hyperlink ref="A9" r:id="rId9" xr:uid="{00000000-0004-0000-0400-000008000000}"/>
    <hyperlink ref="C9" r:id="rId10" xr:uid="{00000000-0004-0000-0400-000009000000}"/>
    <hyperlink ref="F9" r:id="rId11" location="RANGE!E10" xr:uid="{00000000-0004-0000-0400-00000A000000}"/>
    <hyperlink ref="A10" location="Impressoras!A1" display="Acesso Impresssora SIMPRESS" xr:uid="{00000000-0004-0000-0400-00000B000000}"/>
    <hyperlink ref="F10" r:id="rId12" xr:uid="{00000000-0004-0000-0400-00000C000000}"/>
    <hyperlink ref="A11" r:id="rId13" xr:uid="{00000000-0004-0000-0400-00000D000000}"/>
    <hyperlink ref="F11" r:id="rId14" xr:uid="{00000000-0004-0000-0400-00000E000000}"/>
    <hyperlink ref="A12" r:id="rId15" xr:uid="{00000000-0004-0000-0400-00000F000000}"/>
    <hyperlink ref="B12" r:id="rId16" xr:uid="{00000000-0004-0000-0400-000010000000}"/>
    <hyperlink ref="A13" r:id="rId17" xr:uid="{00000000-0004-0000-0400-000011000000}"/>
    <hyperlink ref="C13" r:id="rId18" xr:uid="{00000000-0004-0000-0400-000012000000}"/>
    <hyperlink ref="A14" r:id="rId19" xr:uid="{00000000-0004-0000-0400-000013000000}"/>
    <hyperlink ref="A15" r:id="rId20" xr:uid="{00000000-0004-0000-0400-000014000000}"/>
    <hyperlink ref="A18" r:id="rId21" xr:uid="{00000000-0004-0000-0400-000015000000}"/>
    <hyperlink ref="A19" r:id="rId22" xr:uid="{00000000-0004-0000-0400-000016000000}"/>
    <hyperlink ref="A21" r:id="rId23" xr:uid="{00000000-0004-0000-0400-000017000000}"/>
    <hyperlink ref="A22" r:id="rId24" xr:uid="{00000000-0004-0000-0400-000018000000}"/>
    <hyperlink ref="A23" r:id="rId25" xr:uid="{00000000-0004-0000-0400-000019000000}"/>
  </hyperlinks>
  <pageMargins left="0" right="0" top="0" bottom="0" header="0" footer="0"/>
  <drawing r:id="rId2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outlinePr summaryBelow="0" summaryRight="0"/>
  </sheetPr>
  <dimension ref="O1:Z624"/>
  <sheetViews>
    <sheetView showGridLines="0" workbookViewId="0">
      <pane ySplit="1" topLeftCell="A558" activePane="bottomLeft" state="frozen"/>
      <selection pane="bottomLeft" activeCell="U558" sqref="U558"/>
    </sheetView>
  </sheetViews>
  <sheetFormatPr defaultColWidth="0" defaultRowHeight="15.75" customHeight="1"/>
  <cols>
    <col min="1" max="14" width="0" hidden="1" customWidth="1"/>
    <col min="15" max="15" width="58.7109375" customWidth="1"/>
    <col min="16" max="16" width="20.7109375" customWidth="1"/>
    <col min="17" max="17" width="23.42578125" customWidth="1"/>
    <col min="18" max="18" width="26" customWidth="1"/>
    <col min="19" max="19" width="13.28515625" customWidth="1"/>
    <col min="20" max="20" width="21.28515625" customWidth="1"/>
    <col min="21" max="21" width="49.5703125" customWidth="1"/>
    <col min="22" max="22" width="0" hidden="1" customWidth="1"/>
    <col min="23" max="26" width="27.5703125" hidden="1" customWidth="1"/>
    <col min="27" max="27" width="0" hidden="1" customWidth="1"/>
  </cols>
  <sheetData>
    <row r="1" spans="15:22" ht="80.25" customHeight="1">
      <c r="O1" s="435" t="s">
        <v>1638</v>
      </c>
      <c r="P1" s="435"/>
      <c r="Q1" s="435"/>
      <c r="R1" s="435"/>
      <c r="S1" s="435"/>
      <c r="T1" s="435"/>
      <c r="U1" s="435"/>
      <c r="V1" s="436"/>
    </row>
    <row r="2" spans="15:22" ht="12.75" customHeight="1">
      <c r="O2" s="328" t="s">
        <v>1639</v>
      </c>
      <c r="P2" s="323" t="s">
        <v>1640</v>
      </c>
      <c r="Q2" s="323" t="s">
        <v>1641</v>
      </c>
      <c r="R2" s="323" t="s">
        <v>1642</v>
      </c>
      <c r="S2" s="323" t="s">
        <v>1643</v>
      </c>
      <c r="T2" s="323" t="s">
        <v>1644</v>
      </c>
      <c r="U2" s="325" t="s">
        <v>802</v>
      </c>
      <c r="V2" s="206"/>
    </row>
    <row r="3" spans="15:22" ht="12.75" customHeight="1">
      <c r="O3" s="322" t="s">
        <v>265</v>
      </c>
      <c r="P3" s="327" t="s">
        <v>1645</v>
      </c>
      <c r="Q3" s="324"/>
      <c r="R3" s="324" t="s">
        <v>1646</v>
      </c>
      <c r="S3" s="324">
        <v>8092</v>
      </c>
      <c r="T3" s="324" t="s">
        <v>1647</v>
      </c>
      <c r="U3" s="326" t="s">
        <v>1648</v>
      </c>
      <c r="V3" s="206"/>
    </row>
    <row r="4" spans="15:22" ht="14.25" customHeight="1">
      <c r="O4" s="206"/>
      <c r="P4" s="206"/>
      <c r="Q4" s="204"/>
      <c r="R4" s="205"/>
      <c r="S4" s="206"/>
      <c r="T4" s="206"/>
      <c r="U4" s="206"/>
      <c r="V4" s="206"/>
    </row>
    <row r="5" spans="15:22" ht="15.75" customHeight="1">
      <c r="O5" s="206"/>
      <c r="P5" s="206"/>
      <c r="Q5" s="204"/>
      <c r="R5" s="205"/>
      <c r="S5" s="206"/>
      <c r="T5" s="206"/>
      <c r="U5" s="206"/>
      <c r="V5" s="206"/>
    </row>
    <row r="6" spans="15:22" ht="18" customHeight="1">
      <c r="O6" s="206"/>
      <c r="P6" s="206"/>
      <c r="Q6" s="204"/>
      <c r="R6" s="205"/>
      <c r="S6" s="206"/>
      <c r="T6" s="206"/>
      <c r="U6" s="206"/>
      <c r="V6" s="206"/>
    </row>
    <row r="7" spans="15:22" ht="17.25" customHeight="1">
      <c r="O7" s="206"/>
      <c r="P7" s="206"/>
      <c r="Q7" s="204"/>
      <c r="R7" s="205"/>
      <c r="S7" s="206"/>
      <c r="T7" s="206"/>
      <c r="U7" s="206"/>
      <c r="V7" s="206"/>
    </row>
    <row r="8" spans="15:22" ht="18.75" customHeight="1">
      <c r="O8" s="206"/>
      <c r="P8" s="206"/>
      <c r="Q8" s="204"/>
      <c r="R8" s="205"/>
      <c r="S8" s="206"/>
      <c r="T8" s="206"/>
      <c r="U8" s="206"/>
      <c r="V8" s="206"/>
    </row>
    <row r="9" spans="15:22" ht="18" customHeight="1">
      <c r="O9" s="206"/>
      <c r="P9" s="206"/>
      <c r="Q9" s="204"/>
      <c r="R9" s="205"/>
      <c r="S9" s="206"/>
      <c r="T9" s="206"/>
      <c r="U9" s="206"/>
      <c r="V9" s="206"/>
    </row>
    <row r="10" spans="15:22" ht="17.25" customHeight="1">
      <c r="O10" s="206"/>
      <c r="P10" s="206"/>
      <c r="Q10" s="204"/>
      <c r="R10" s="205"/>
      <c r="S10" s="206"/>
      <c r="T10" s="206"/>
      <c r="U10" s="206"/>
      <c r="V10" s="206"/>
    </row>
    <row r="11" spans="15:22" ht="20.25" customHeight="1">
      <c r="O11" s="206"/>
      <c r="P11" s="206"/>
      <c r="Q11" s="204"/>
      <c r="R11" s="205"/>
      <c r="S11" s="206"/>
      <c r="T11" s="206"/>
      <c r="U11" s="206"/>
      <c r="V11" s="206"/>
    </row>
    <row r="12" spans="15:22" ht="18.75" customHeight="1">
      <c r="O12" s="206"/>
      <c r="P12" s="206"/>
      <c r="Q12" s="204"/>
      <c r="R12" s="205"/>
      <c r="S12" s="206"/>
      <c r="T12" s="206"/>
      <c r="U12" s="206"/>
      <c r="V12" s="206"/>
    </row>
    <row r="13" spans="15:22" ht="18" customHeight="1">
      <c r="O13" s="206"/>
      <c r="P13" s="206"/>
      <c r="Q13" s="204"/>
      <c r="R13" s="205"/>
      <c r="S13" s="206"/>
      <c r="T13" s="206"/>
      <c r="U13" s="206"/>
      <c r="V13" s="206"/>
    </row>
    <row r="14" spans="15:22" ht="18" customHeight="1">
      <c r="O14" s="206"/>
      <c r="P14" s="206"/>
      <c r="Q14" s="204"/>
      <c r="R14" s="205"/>
      <c r="S14" s="206"/>
      <c r="T14" s="206"/>
      <c r="U14" s="206"/>
      <c r="V14" s="206"/>
    </row>
    <row r="15" spans="15:22" ht="17.25" customHeight="1">
      <c r="O15" s="206"/>
      <c r="P15" s="206"/>
      <c r="Q15" s="204"/>
      <c r="R15" s="205"/>
      <c r="S15" s="206"/>
      <c r="T15" s="206"/>
      <c r="U15" s="206"/>
      <c r="V15" s="206"/>
    </row>
    <row r="16" spans="15:22" ht="19.5" customHeight="1">
      <c r="O16" s="206"/>
      <c r="P16" s="206"/>
      <c r="Q16" s="204"/>
      <c r="R16" s="205"/>
      <c r="S16" s="206"/>
      <c r="T16" s="206"/>
      <c r="U16" s="206"/>
      <c r="V16" s="206"/>
    </row>
    <row r="17" spans="15:22" ht="18" customHeight="1">
      <c r="O17" s="206"/>
      <c r="P17" s="206"/>
      <c r="Q17" s="204"/>
      <c r="R17" s="205"/>
      <c r="S17" s="206"/>
      <c r="T17" s="206"/>
      <c r="U17" s="206"/>
      <c r="V17" s="206"/>
    </row>
    <row r="18" spans="15:22" ht="17.25" customHeight="1">
      <c r="O18" s="206"/>
      <c r="P18" s="206"/>
      <c r="Q18" s="204"/>
      <c r="R18" s="205"/>
      <c r="S18" s="206"/>
      <c r="T18" s="206"/>
      <c r="U18" s="206"/>
      <c r="V18" s="206"/>
    </row>
    <row r="19" spans="15:22" ht="17.25" customHeight="1">
      <c r="O19" s="206"/>
      <c r="P19" s="206"/>
      <c r="Q19" s="204"/>
      <c r="R19" s="205"/>
      <c r="S19" s="206"/>
      <c r="T19" s="206"/>
      <c r="U19" s="206"/>
      <c r="V19" s="206"/>
    </row>
    <row r="20" spans="15:22" ht="20.25" customHeight="1">
      <c r="O20" s="206"/>
      <c r="P20" s="206"/>
      <c r="Q20" s="204"/>
      <c r="R20" s="205"/>
      <c r="S20" s="206"/>
      <c r="T20" s="206"/>
      <c r="U20" s="206"/>
      <c r="V20" s="206"/>
    </row>
    <row r="21" spans="15:22" ht="15.75" customHeight="1">
      <c r="O21" s="206"/>
      <c r="P21" s="206"/>
      <c r="Q21" s="204"/>
      <c r="R21" s="205"/>
      <c r="S21" s="206"/>
      <c r="T21" s="206"/>
      <c r="U21" s="206"/>
      <c r="V21" s="206"/>
    </row>
    <row r="22" spans="15:22" ht="31.5" customHeight="1">
      <c r="O22" s="206"/>
      <c r="P22" s="206"/>
      <c r="Q22" s="204"/>
      <c r="R22" s="205"/>
      <c r="S22" s="206"/>
      <c r="T22" s="206"/>
      <c r="U22" s="206"/>
      <c r="V22" s="206"/>
    </row>
    <row r="23" spans="15:22" ht="31.5" customHeight="1">
      <c r="O23" s="206"/>
      <c r="P23" s="206"/>
      <c r="Q23" s="204"/>
      <c r="R23" s="205"/>
      <c r="S23" s="206"/>
      <c r="T23" s="206"/>
      <c r="U23" s="206"/>
      <c r="V23" s="206"/>
    </row>
    <row r="24" spans="15:22" ht="31.5" customHeight="1">
      <c r="O24" s="206"/>
      <c r="P24" s="206"/>
      <c r="Q24" s="204"/>
      <c r="R24" s="205"/>
      <c r="S24" s="206"/>
      <c r="T24" s="206"/>
      <c r="U24" s="206"/>
      <c r="V24" s="206"/>
    </row>
    <row r="25" spans="15:22" ht="31.5" customHeight="1">
      <c r="O25" s="206"/>
      <c r="P25" s="206"/>
      <c r="Q25" s="204"/>
      <c r="R25" s="205"/>
      <c r="S25" s="206"/>
      <c r="T25" s="206"/>
      <c r="U25" s="206"/>
      <c r="V25" s="206"/>
    </row>
    <row r="26" spans="15:22" ht="31.5" customHeight="1">
      <c r="O26" s="206"/>
      <c r="P26" s="206"/>
      <c r="Q26" s="204"/>
      <c r="R26" s="205"/>
      <c r="S26" s="206"/>
      <c r="T26" s="206"/>
      <c r="U26" s="206"/>
      <c r="V26" s="206"/>
    </row>
    <row r="27" spans="15:22" ht="31.5" customHeight="1">
      <c r="O27" s="206"/>
      <c r="P27" s="206"/>
      <c r="Q27" s="204"/>
      <c r="R27" s="205"/>
      <c r="S27" s="206"/>
      <c r="T27" s="206"/>
      <c r="U27" s="206"/>
      <c r="V27" s="206"/>
    </row>
    <row r="28" spans="15:22" ht="31.5" customHeight="1">
      <c r="O28" s="206"/>
      <c r="P28" s="206"/>
      <c r="Q28" s="204"/>
      <c r="R28" s="205"/>
      <c r="S28" s="206"/>
      <c r="T28" s="206"/>
      <c r="U28" s="206"/>
      <c r="V28" s="206"/>
    </row>
    <row r="29" spans="15:22" ht="31.5" customHeight="1">
      <c r="O29" s="206"/>
      <c r="P29" s="206"/>
      <c r="Q29" s="204"/>
      <c r="R29" s="205"/>
      <c r="S29" s="206"/>
      <c r="T29" s="206"/>
      <c r="U29" s="206"/>
      <c r="V29" s="206"/>
    </row>
    <row r="30" spans="15:22" ht="31.5" customHeight="1">
      <c r="O30" s="206"/>
      <c r="P30" s="206"/>
      <c r="Q30" s="204"/>
      <c r="R30" s="205"/>
      <c r="S30" s="206"/>
      <c r="T30" s="206"/>
      <c r="U30" s="206"/>
      <c r="V30" s="206"/>
    </row>
    <row r="31" spans="15:22" ht="31.5" customHeight="1">
      <c r="O31" s="206"/>
      <c r="P31" s="206"/>
      <c r="Q31" s="204"/>
      <c r="R31" s="205"/>
      <c r="S31" s="206"/>
      <c r="T31" s="206"/>
      <c r="U31" s="206"/>
      <c r="V31" s="206"/>
    </row>
    <row r="32" spans="15:22" ht="31.5" customHeight="1">
      <c r="O32" s="206"/>
      <c r="P32" s="206"/>
      <c r="Q32" s="204"/>
      <c r="R32" s="205"/>
      <c r="S32" s="206"/>
      <c r="T32" s="206"/>
      <c r="U32" s="206"/>
      <c r="V32" s="206"/>
    </row>
    <row r="33" spans="15:22" ht="31.5" customHeight="1">
      <c r="O33" s="206"/>
      <c r="P33" s="206"/>
      <c r="Q33" s="204"/>
      <c r="R33" s="205"/>
      <c r="S33" s="206"/>
      <c r="T33" s="206"/>
      <c r="U33" s="206"/>
      <c r="V33" s="206"/>
    </row>
    <row r="34" spans="15:22" ht="31.5" customHeight="1">
      <c r="O34" s="206"/>
      <c r="P34" s="206"/>
      <c r="Q34" s="204"/>
      <c r="R34" s="205"/>
      <c r="S34" s="206"/>
      <c r="T34" s="206"/>
      <c r="U34" s="206"/>
      <c r="V34" s="206"/>
    </row>
    <row r="35" spans="15:22" ht="31.5" customHeight="1">
      <c r="O35" s="206"/>
      <c r="P35" s="206"/>
      <c r="Q35" s="204"/>
      <c r="R35" s="205"/>
      <c r="S35" s="206"/>
      <c r="T35" s="206"/>
      <c r="U35" s="206"/>
      <c r="V35" s="206"/>
    </row>
    <row r="36" spans="15:22" ht="31.5" customHeight="1">
      <c r="O36" s="206"/>
      <c r="P36" s="206"/>
      <c r="Q36" s="204"/>
      <c r="R36" s="205"/>
      <c r="S36" s="206"/>
      <c r="T36" s="206"/>
      <c r="U36" s="206"/>
      <c r="V36" s="206"/>
    </row>
    <row r="37" spans="15:22" ht="31.5" customHeight="1">
      <c r="O37" s="206"/>
      <c r="P37" s="206"/>
      <c r="Q37" s="204"/>
      <c r="R37" s="205"/>
      <c r="S37" s="206"/>
      <c r="T37" s="206"/>
      <c r="U37" s="206"/>
      <c r="V37" s="206"/>
    </row>
    <row r="38" spans="15:22" ht="31.5" customHeight="1">
      <c r="O38" s="206"/>
      <c r="P38" s="206"/>
      <c r="Q38" s="204"/>
      <c r="R38" s="205"/>
      <c r="S38" s="206"/>
      <c r="T38" s="206"/>
      <c r="U38" s="206"/>
      <c r="V38" s="206"/>
    </row>
    <row r="39" spans="15:22" ht="31.5" customHeight="1">
      <c r="O39" s="206"/>
      <c r="P39" s="206"/>
      <c r="Q39" s="204"/>
      <c r="R39" s="205"/>
      <c r="S39" s="206"/>
      <c r="T39" s="206"/>
      <c r="U39" s="206"/>
      <c r="V39" s="206"/>
    </row>
    <row r="40" spans="15:22" ht="31.5" customHeight="1">
      <c r="O40" s="206"/>
      <c r="P40" s="206"/>
      <c r="Q40" s="204"/>
      <c r="R40" s="205"/>
      <c r="S40" s="206"/>
      <c r="T40" s="206"/>
      <c r="U40" s="206"/>
      <c r="V40" s="206"/>
    </row>
    <row r="41" spans="15:22" ht="31.5" customHeight="1">
      <c r="O41" s="206"/>
      <c r="P41" s="206"/>
      <c r="Q41" s="204"/>
      <c r="R41" s="205"/>
      <c r="S41" s="206"/>
      <c r="T41" s="206"/>
      <c r="U41" s="206"/>
      <c r="V41" s="206"/>
    </row>
    <row r="42" spans="15:22" ht="31.5" customHeight="1">
      <c r="O42" s="206"/>
      <c r="P42" s="206"/>
      <c r="Q42" s="204"/>
      <c r="R42" s="205"/>
      <c r="S42" s="206"/>
      <c r="T42" s="206"/>
      <c r="U42" s="206"/>
      <c r="V42" s="206"/>
    </row>
    <row r="43" spans="15:22" ht="31.5" customHeight="1">
      <c r="O43" s="206"/>
      <c r="P43" s="206"/>
      <c r="Q43" s="204"/>
      <c r="R43" s="205"/>
      <c r="S43" s="206"/>
      <c r="T43" s="206"/>
      <c r="U43" s="206"/>
      <c r="V43" s="206"/>
    </row>
    <row r="44" spans="15:22" ht="31.5" customHeight="1">
      <c r="O44" s="206"/>
      <c r="P44" s="206"/>
      <c r="Q44" s="204"/>
      <c r="R44" s="205"/>
      <c r="S44" s="206"/>
      <c r="T44" s="206"/>
      <c r="U44" s="206"/>
      <c r="V44" s="206"/>
    </row>
    <row r="45" spans="15:22" ht="31.5" customHeight="1">
      <c r="O45" s="206"/>
      <c r="P45" s="206"/>
      <c r="Q45" s="204"/>
      <c r="R45" s="205"/>
      <c r="S45" s="206"/>
      <c r="T45" s="206"/>
      <c r="U45" s="206"/>
      <c r="V45" s="206"/>
    </row>
    <row r="46" spans="15:22" ht="31.5" customHeight="1">
      <c r="O46" s="206"/>
      <c r="P46" s="206"/>
      <c r="Q46" s="204"/>
      <c r="R46" s="205"/>
      <c r="S46" s="206"/>
      <c r="T46" s="206"/>
      <c r="U46" s="206"/>
      <c r="V46" s="206"/>
    </row>
    <row r="47" spans="15:22" ht="31.5" customHeight="1">
      <c r="O47" s="206"/>
      <c r="P47" s="206"/>
      <c r="Q47" s="204"/>
      <c r="R47" s="205"/>
      <c r="S47" s="206"/>
      <c r="T47" s="206"/>
      <c r="U47" s="206"/>
      <c r="V47" s="206"/>
    </row>
    <row r="48" spans="15:22" ht="31.5" customHeight="1">
      <c r="O48" s="206"/>
      <c r="P48" s="206"/>
      <c r="Q48" s="204"/>
      <c r="R48" s="205"/>
      <c r="S48" s="206"/>
      <c r="T48" s="206"/>
      <c r="U48" s="206"/>
      <c r="V48" s="206"/>
    </row>
    <row r="49" spans="15:22" ht="31.5" customHeight="1">
      <c r="O49" s="206"/>
      <c r="P49" s="206"/>
      <c r="Q49" s="204"/>
      <c r="R49" s="205"/>
      <c r="S49" s="206"/>
      <c r="T49" s="206"/>
      <c r="U49" s="206"/>
      <c r="V49" s="206"/>
    </row>
    <row r="50" spans="15:22" ht="31.5" customHeight="1">
      <c r="O50" s="206"/>
      <c r="P50" s="206"/>
      <c r="Q50" s="204"/>
      <c r="R50" s="205"/>
      <c r="S50" s="206"/>
      <c r="T50" s="206"/>
      <c r="U50" s="206"/>
      <c r="V50" s="206"/>
    </row>
    <row r="51" spans="15:22" ht="31.5" customHeight="1">
      <c r="O51" s="206"/>
      <c r="P51" s="206"/>
      <c r="Q51" s="204"/>
      <c r="R51" s="205"/>
      <c r="S51" s="206"/>
      <c r="T51" s="206"/>
      <c r="U51" s="206"/>
      <c r="V51" s="206"/>
    </row>
    <row r="52" spans="15:22" ht="31.5" customHeight="1">
      <c r="O52" s="206"/>
      <c r="P52" s="206"/>
      <c r="Q52" s="204"/>
      <c r="R52" s="205"/>
      <c r="S52" s="206"/>
      <c r="T52" s="206"/>
      <c r="U52" s="206"/>
      <c r="V52" s="206"/>
    </row>
    <row r="53" spans="15:22" ht="31.5" customHeight="1">
      <c r="O53" s="206"/>
      <c r="P53" s="206"/>
      <c r="Q53" s="204"/>
      <c r="R53" s="205"/>
      <c r="S53" s="206"/>
      <c r="T53" s="206"/>
      <c r="U53" s="206"/>
      <c r="V53" s="206"/>
    </row>
    <row r="54" spans="15:22" ht="31.5" customHeight="1">
      <c r="O54" s="206"/>
      <c r="P54" s="206"/>
      <c r="Q54" s="204"/>
      <c r="R54" s="205"/>
      <c r="S54" s="206"/>
      <c r="T54" s="206"/>
      <c r="U54" s="206"/>
      <c r="V54" s="206"/>
    </row>
    <row r="55" spans="15:22" ht="31.5" customHeight="1">
      <c r="O55" s="206"/>
      <c r="P55" s="206"/>
      <c r="Q55" s="204"/>
      <c r="R55" s="205"/>
      <c r="S55" s="206"/>
      <c r="T55" s="206"/>
      <c r="U55" s="206"/>
      <c r="V55" s="206"/>
    </row>
    <row r="56" spans="15:22" ht="31.5" customHeight="1">
      <c r="O56" s="206"/>
      <c r="P56" s="206"/>
      <c r="Q56" s="204"/>
      <c r="R56" s="205"/>
      <c r="S56" s="206"/>
      <c r="T56" s="206"/>
      <c r="U56" s="206"/>
      <c r="V56" s="206"/>
    </row>
    <row r="57" spans="15:22" ht="31.5" customHeight="1">
      <c r="O57" s="206"/>
      <c r="P57" s="206"/>
      <c r="Q57" s="204"/>
      <c r="R57" s="205"/>
      <c r="S57" s="206"/>
      <c r="T57" s="206"/>
      <c r="U57" s="206"/>
      <c r="V57" s="206"/>
    </row>
    <row r="58" spans="15:22" ht="31.5" customHeight="1">
      <c r="O58" s="206"/>
      <c r="P58" s="206"/>
      <c r="Q58" s="204"/>
      <c r="R58" s="205"/>
      <c r="S58" s="206"/>
      <c r="T58" s="206"/>
      <c r="U58" s="206"/>
      <c r="V58" s="206"/>
    </row>
    <row r="59" spans="15:22" ht="31.5" customHeight="1">
      <c r="O59" s="206"/>
      <c r="P59" s="206"/>
      <c r="Q59" s="204"/>
      <c r="R59" s="205"/>
      <c r="S59" s="206"/>
      <c r="T59" s="206"/>
      <c r="U59" s="206"/>
      <c r="V59" s="206"/>
    </row>
    <row r="60" spans="15:22" ht="31.5" customHeight="1">
      <c r="O60" s="206"/>
      <c r="P60" s="206"/>
      <c r="Q60" s="204"/>
      <c r="R60" s="205"/>
      <c r="S60" s="206"/>
      <c r="T60" s="206"/>
      <c r="U60" s="206"/>
      <c r="V60" s="206"/>
    </row>
    <row r="61" spans="15:22" ht="31.5" customHeight="1">
      <c r="O61" s="206"/>
      <c r="P61" s="206"/>
      <c r="Q61" s="204"/>
      <c r="R61" s="205"/>
      <c r="S61" s="206"/>
      <c r="T61" s="206"/>
      <c r="U61" s="206"/>
      <c r="V61" s="206"/>
    </row>
    <row r="62" spans="15:22" ht="31.5" customHeight="1">
      <c r="O62" s="206"/>
      <c r="P62" s="206"/>
      <c r="Q62" s="204"/>
      <c r="R62" s="205"/>
      <c r="S62" s="206"/>
      <c r="T62" s="206"/>
      <c r="U62" s="206"/>
      <c r="V62" s="206"/>
    </row>
    <row r="63" spans="15:22" ht="31.5" customHeight="1">
      <c r="O63" s="206"/>
      <c r="P63" s="206"/>
      <c r="Q63" s="204"/>
      <c r="R63" s="205"/>
      <c r="S63" s="206"/>
      <c r="T63" s="206"/>
      <c r="U63" s="206"/>
      <c r="V63" s="206"/>
    </row>
    <row r="64" spans="15:22" ht="31.5" customHeight="1">
      <c r="O64" s="206"/>
      <c r="P64" s="206"/>
      <c r="Q64" s="204"/>
      <c r="R64" s="205"/>
      <c r="S64" s="206"/>
      <c r="T64" s="206"/>
      <c r="U64" s="206"/>
      <c r="V64" s="206"/>
    </row>
    <row r="65" spans="15:22" ht="31.5" customHeight="1">
      <c r="O65" s="206"/>
      <c r="P65" s="206"/>
      <c r="Q65" s="204"/>
      <c r="R65" s="205"/>
      <c r="S65" s="206"/>
      <c r="T65" s="206"/>
      <c r="U65" s="206"/>
      <c r="V65" s="206"/>
    </row>
    <row r="66" spans="15:22" ht="31.5" customHeight="1">
      <c r="O66" s="206"/>
      <c r="P66" s="206"/>
      <c r="Q66" s="204"/>
      <c r="R66" s="205"/>
      <c r="S66" s="206"/>
      <c r="T66" s="206"/>
      <c r="U66" s="206"/>
      <c r="V66" s="206"/>
    </row>
    <row r="67" spans="15:22" ht="31.5" customHeight="1">
      <c r="O67" s="206"/>
      <c r="P67" s="206"/>
      <c r="Q67" s="204"/>
      <c r="R67" s="205"/>
      <c r="S67" s="206"/>
      <c r="T67" s="206"/>
      <c r="U67" s="206"/>
      <c r="V67" s="206"/>
    </row>
    <row r="68" spans="15:22" ht="31.5" customHeight="1">
      <c r="O68" s="206"/>
      <c r="P68" s="206"/>
      <c r="Q68" s="204"/>
      <c r="R68" s="205"/>
      <c r="S68" s="206"/>
      <c r="T68" s="206"/>
      <c r="U68" s="206"/>
      <c r="V68" s="206"/>
    </row>
    <row r="69" spans="15:22" ht="31.5" customHeight="1">
      <c r="O69" s="206"/>
      <c r="P69" s="206"/>
      <c r="Q69" s="204"/>
      <c r="R69" s="205"/>
      <c r="S69" s="206"/>
      <c r="T69" s="206"/>
      <c r="U69" s="206"/>
      <c r="V69" s="206"/>
    </row>
    <row r="70" spans="15:22" ht="31.5" customHeight="1">
      <c r="O70" s="206"/>
      <c r="P70" s="206"/>
      <c r="Q70" s="204"/>
      <c r="R70" s="205"/>
      <c r="S70" s="206"/>
      <c r="T70" s="206"/>
      <c r="U70" s="206"/>
      <c r="V70" s="206"/>
    </row>
    <row r="71" spans="15:22" ht="31.5" customHeight="1">
      <c r="O71" s="206"/>
      <c r="P71" s="206"/>
      <c r="Q71" s="204"/>
      <c r="R71" s="205"/>
      <c r="S71" s="206"/>
      <c r="T71" s="206"/>
      <c r="U71" s="206"/>
      <c r="V71" s="206"/>
    </row>
    <row r="72" spans="15:22" ht="31.5" customHeight="1">
      <c r="O72" s="206"/>
      <c r="P72" s="206"/>
      <c r="Q72" s="204"/>
      <c r="R72" s="205"/>
      <c r="S72" s="206"/>
      <c r="T72" s="206"/>
      <c r="U72" s="206"/>
      <c r="V72" s="206"/>
    </row>
    <row r="73" spans="15:22" ht="31.5" customHeight="1">
      <c r="O73" s="206"/>
      <c r="P73" s="206"/>
      <c r="Q73" s="204"/>
      <c r="R73" s="205"/>
      <c r="S73" s="206"/>
      <c r="T73" s="206"/>
      <c r="U73" s="206"/>
      <c r="V73" s="206"/>
    </row>
    <row r="74" spans="15:22" ht="31.5" customHeight="1">
      <c r="O74" s="206"/>
      <c r="P74" s="206"/>
      <c r="Q74" s="204"/>
      <c r="R74" s="205"/>
      <c r="S74" s="206"/>
      <c r="T74" s="206"/>
      <c r="U74" s="206"/>
      <c r="V74" s="206"/>
    </row>
    <row r="75" spans="15:22" ht="31.5" customHeight="1">
      <c r="O75" s="206"/>
      <c r="P75" s="206"/>
      <c r="Q75" s="204"/>
      <c r="R75" s="205"/>
      <c r="S75" s="206"/>
      <c r="T75" s="206"/>
      <c r="U75" s="206"/>
      <c r="V75" s="206"/>
    </row>
    <row r="76" spans="15:22" ht="31.5" customHeight="1">
      <c r="O76" s="206"/>
      <c r="P76" s="206"/>
      <c r="Q76" s="204"/>
      <c r="R76" s="205"/>
      <c r="S76" s="206"/>
      <c r="T76" s="206"/>
      <c r="U76" s="206"/>
      <c r="V76" s="206"/>
    </row>
    <row r="77" spans="15:22" ht="31.5" customHeight="1">
      <c r="O77" s="206"/>
      <c r="P77" s="206"/>
      <c r="Q77" s="204"/>
      <c r="R77" s="205"/>
      <c r="S77" s="206"/>
      <c r="T77" s="206"/>
      <c r="U77" s="206"/>
      <c r="V77" s="206"/>
    </row>
    <row r="78" spans="15:22" ht="31.5" customHeight="1">
      <c r="O78" s="206"/>
      <c r="P78" s="206"/>
      <c r="Q78" s="204"/>
      <c r="R78" s="205"/>
      <c r="S78" s="206"/>
      <c r="T78" s="206"/>
      <c r="U78" s="206"/>
      <c r="V78" s="206"/>
    </row>
    <row r="79" spans="15:22" ht="31.5" customHeight="1">
      <c r="O79" s="206"/>
      <c r="P79" s="206"/>
      <c r="Q79" s="204"/>
      <c r="R79" s="205"/>
      <c r="S79" s="206"/>
      <c r="T79" s="206"/>
      <c r="U79" s="206"/>
      <c r="V79" s="206"/>
    </row>
    <row r="80" spans="15:22" ht="31.5" customHeight="1">
      <c r="O80" s="206"/>
      <c r="P80" s="206"/>
      <c r="Q80" s="204"/>
      <c r="R80" s="205"/>
      <c r="S80" s="206"/>
      <c r="T80" s="206"/>
      <c r="U80" s="206"/>
      <c r="V80" s="206"/>
    </row>
    <row r="81" spans="15:22" ht="31.5" customHeight="1">
      <c r="O81" s="206"/>
      <c r="P81" s="206"/>
      <c r="Q81" s="204"/>
      <c r="R81" s="205"/>
      <c r="S81" s="206"/>
      <c r="T81" s="206"/>
      <c r="U81" s="206"/>
      <c r="V81" s="206"/>
    </row>
    <row r="82" spans="15:22" ht="31.5" customHeight="1">
      <c r="O82" s="206"/>
      <c r="P82" s="206"/>
      <c r="Q82" s="204"/>
      <c r="R82" s="205"/>
      <c r="S82" s="206"/>
      <c r="T82" s="206"/>
      <c r="U82" s="206"/>
      <c r="V82" s="206"/>
    </row>
    <row r="83" spans="15:22" ht="31.5" customHeight="1">
      <c r="O83" s="206"/>
      <c r="P83" s="206"/>
      <c r="Q83" s="204"/>
      <c r="R83" s="205"/>
      <c r="S83" s="206"/>
      <c r="T83" s="206"/>
      <c r="U83" s="206"/>
      <c r="V83" s="206"/>
    </row>
    <row r="84" spans="15:22" ht="31.5" customHeight="1">
      <c r="O84" s="206"/>
      <c r="P84" s="206"/>
      <c r="Q84" s="204"/>
      <c r="R84" s="205"/>
      <c r="S84" s="206"/>
      <c r="T84" s="206"/>
      <c r="U84" s="206"/>
      <c r="V84" s="206"/>
    </row>
    <row r="85" spans="15:22" ht="31.5" customHeight="1">
      <c r="O85" s="206"/>
      <c r="P85" s="206"/>
      <c r="Q85" s="204"/>
      <c r="R85" s="205"/>
      <c r="S85" s="206"/>
      <c r="T85" s="206"/>
      <c r="U85" s="206"/>
      <c r="V85" s="206"/>
    </row>
    <row r="86" spans="15:22" ht="31.5" customHeight="1">
      <c r="O86" s="206"/>
      <c r="P86" s="206"/>
      <c r="Q86" s="204"/>
      <c r="R86" s="205"/>
      <c r="S86" s="206"/>
      <c r="T86" s="206"/>
      <c r="U86" s="206"/>
      <c r="V86" s="206"/>
    </row>
    <row r="87" spans="15:22" ht="31.5" customHeight="1">
      <c r="O87" s="206"/>
      <c r="P87" s="206"/>
      <c r="Q87" s="204"/>
      <c r="R87" s="205"/>
      <c r="S87" s="206"/>
      <c r="T87" s="206"/>
      <c r="U87" s="206"/>
      <c r="V87" s="206"/>
    </row>
    <row r="88" spans="15:22" ht="31.5" customHeight="1">
      <c r="O88" s="206"/>
      <c r="P88" s="206"/>
      <c r="Q88" s="204"/>
      <c r="R88" s="205"/>
      <c r="S88" s="206"/>
      <c r="T88" s="206"/>
      <c r="U88" s="206"/>
      <c r="V88" s="206"/>
    </row>
    <row r="89" spans="15:22" ht="31.5" customHeight="1">
      <c r="O89" s="206"/>
      <c r="P89" s="206"/>
      <c r="Q89" s="204"/>
      <c r="R89" s="205"/>
      <c r="S89" s="206"/>
      <c r="T89" s="206"/>
      <c r="U89" s="206"/>
      <c r="V89" s="206"/>
    </row>
    <row r="90" spans="15:22" ht="31.5" customHeight="1">
      <c r="O90" s="206"/>
      <c r="P90" s="206"/>
      <c r="Q90" s="204"/>
      <c r="R90" s="205"/>
      <c r="S90" s="206"/>
      <c r="T90" s="206"/>
      <c r="U90" s="206"/>
      <c r="V90" s="206"/>
    </row>
    <row r="91" spans="15:22" ht="31.5" customHeight="1">
      <c r="O91" s="206"/>
      <c r="P91" s="206"/>
      <c r="Q91" s="204"/>
      <c r="R91" s="205"/>
      <c r="S91" s="206"/>
      <c r="T91" s="206"/>
      <c r="U91" s="206"/>
      <c r="V91" s="206"/>
    </row>
    <row r="92" spans="15:22" ht="31.5" customHeight="1">
      <c r="O92" s="206"/>
      <c r="P92" s="206"/>
      <c r="Q92" s="204"/>
      <c r="R92" s="205"/>
      <c r="S92" s="206"/>
      <c r="T92" s="206"/>
      <c r="U92" s="206"/>
      <c r="V92" s="206"/>
    </row>
    <row r="93" spans="15:22" ht="31.5" customHeight="1">
      <c r="O93" s="206"/>
      <c r="P93" s="206"/>
      <c r="Q93" s="204"/>
      <c r="R93" s="205"/>
      <c r="S93" s="206"/>
      <c r="T93" s="206"/>
      <c r="U93" s="206"/>
      <c r="V93" s="206"/>
    </row>
    <row r="94" spans="15:22" ht="31.5" customHeight="1">
      <c r="O94" s="206"/>
      <c r="P94" s="206"/>
      <c r="Q94" s="204"/>
      <c r="R94" s="205"/>
      <c r="S94" s="206"/>
      <c r="T94" s="206"/>
      <c r="U94" s="206"/>
      <c r="V94" s="206"/>
    </row>
    <row r="95" spans="15:22" ht="31.5" customHeight="1">
      <c r="O95" s="206"/>
      <c r="P95" s="206"/>
      <c r="Q95" s="204"/>
      <c r="R95" s="205"/>
      <c r="S95" s="206"/>
      <c r="T95" s="206"/>
      <c r="U95" s="206"/>
      <c r="V95" s="206"/>
    </row>
    <row r="96" spans="15:22" ht="31.5" customHeight="1">
      <c r="O96" s="206"/>
      <c r="P96" s="206"/>
      <c r="Q96" s="204"/>
      <c r="R96" s="205"/>
      <c r="S96" s="206"/>
      <c r="T96" s="206"/>
      <c r="U96" s="206"/>
      <c r="V96" s="206"/>
    </row>
    <row r="97" spans="15:22" ht="31.5" customHeight="1">
      <c r="O97" s="206"/>
      <c r="P97" s="206"/>
      <c r="Q97" s="204"/>
      <c r="R97" s="205"/>
      <c r="S97" s="206"/>
      <c r="T97" s="206"/>
      <c r="U97" s="206"/>
      <c r="V97" s="206"/>
    </row>
    <row r="98" spans="15:22" ht="31.5" customHeight="1">
      <c r="O98" s="206"/>
      <c r="P98" s="206"/>
      <c r="Q98" s="204"/>
      <c r="R98" s="205"/>
      <c r="S98" s="206"/>
      <c r="T98" s="206"/>
      <c r="U98" s="206"/>
      <c r="V98" s="206"/>
    </row>
    <row r="99" spans="15:22" ht="31.5" customHeight="1">
      <c r="O99" s="206"/>
      <c r="P99" s="206"/>
      <c r="Q99" s="204"/>
      <c r="R99" s="205"/>
      <c r="S99" s="206"/>
      <c r="T99" s="206"/>
      <c r="U99" s="206"/>
      <c r="V99" s="206"/>
    </row>
    <row r="100" spans="15:22" ht="31.5" customHeight="1">
      <c r="O100" s="206"/>
      <c r="P100" s="206"/>
      <c r="Q100" s="204"/>
      <c r="R100" s="205"/>
      <c r="S100" s="206"/>
      <c r="T100" s="206"/>
      <c r="U100" s="206"/>
      <c r="V100" s="206"/>
    </row>
    <row r="101" spans="15:22" ht="31.5" customHeight="1">
      <c r="O101" s="206"/>
      <c r="P101" s="206"/>
      <c r="Q101" s="204"/>
      <c r="R101" s="205"/>
      <c r="S101" s="206"/>
      <c r="T101" s="206"/>
      <c r="U101" s="206"/>
      <c r="V101" s="206"/>
    </row>
    <row r="102" spans="15:22" ht="31.5" customHeight="1">
      <c r="O102" s="206"/>
      <c r="P102" s="206"/>
      <c r="Q102" s="204"/>
      <c r="R102" s="205"/>
      <c r="S102" s="206"/>
      <c r="T102" s="206"/>
      <c r="U102" s="206"/>
      <c r="V102" s="206"/>
    </row>
    <row r="103" spans="15:22" ht="31.5" customHeight="1">
      <c r="O103" s="206"/>
      <c r="P103" s="206"/>
      <c r="Q103" s="204"/>
      <c r="R103" s="205"/>
      <c r="S103" s="206"/>
      <c r="T103" s="206"/>
      <c r="U103" s="206"/>
      <c r="V103" s="206"/>
    </row>
    <row r="104" spans="15:22" ht="31.5" customHeight="1">
      <c r="O104" s="206"/>
      <c r="P104" s="206"/>
      <c r="Q104" s="204"/>
      <c r="R104" s="205"/>
      <c r="S104" s="206"/>
      <c r="T104" s="206"/>
      <c r="U104" s="206"/>
      <c r="V104" s="206"/>
    </row>
    <row r="105" spans="15:22" ht="31.5" customHeight="1">
      <c r="O105" s="206"/>
      <c r="P105" s="206"/>
      <c r="Q105" s="204"/>
      <c r="R105" s="205"/>
      <c r="S105" s="206"/>
      <c r="T105" s="206"/>
      <c r="U105" s="206"/>
      <c r="V105" s="206"/>
    </row>
    <row r="106" spans="15:22" ht="31.5" customHeight="1">
      <c r="O106" s="206"/>
      <c r="P106" s="206"/>
      <c r="Q106" s="204"/>
      <c r="R106" s="205"/>
      <c r="S106" s="206"/>
      <c r="T106" s="206"/>
      <c r="U106" s="206"/>
      <c r="V106" s="206"/>
    </row>
    <row r="107" spans="15:22" ht="31.5" customHeight="1">
      <c r="O107" s="206"/>
      <c r="P107" s="206"/>
      <c r="Q107" s="204"/>
      <c r="R107" s="205"/>
      <c r="S107" s="206"/>
      <c r="T107" s="206"/>
      <c r="U107" s="206"/>
      <c r="V107" s="206"/>
    </row>
    <row r="108" spans="15:22" ht="31.5" customHeight="1">
      <c r="O108" s="206"/>
      <c r="P108" s="206"/>
      <c r="Q108" s="204"/>
      <c r="R108" s="205"/>
      <c r="S108" s="206"/>
      <c r="T108" s="206"/>
      <c r="U108" s="206"/>
      <c r="V108" s="206"/>
    </row>
    <row r="109" spans="15:22" ht="31.5" customHeight="1">
      <c r="O109" s="206"/>
      <c r="P109" s="206"/>
      <c r="Q109" s="204"/>
      <c r="R109" s="205"/>
      <c r="S109" s="206"/>
      <c r="T109" s="206"/>
      <c r="U109" s="206"/>
      <c r="V109" s="206"/>
    </row>
    <row r="110" spans="15:22" ht="31.5" customHeight="1">
      <c r="O110" s="206"/>
      <c r="P110" s="206"/>
      <c r="Q110" s="204"/>
      <c r="R110" s="205"/>
      <c r="S110" s="206"/>
      <c r="T110" s="206"/>
      <c r="U110" s="206"/>
      <c r="V110" s="206"/>
    </row>
    <row r="111" spans="15:22" ht="31.5" customHeight="1">
      <c r="O111" s="206"/>
      <c r="P111" s="206"/>
      <c r="Q111" s="204"/>
      <c r="R111" s="205"/>
      <c r="S111" s="206"/>
      <c r="T111" s="206"/>
      <c r="U111" s="206"/>
      <c r="V111" s="206"/>
    </row>
    <row r="112" spans="15:22" ht="31.5" customHeight="1">
      <c r="O112" s="206"/>
      <c r="P112" s="206"/>
      <c r="Q112" s="204"/>
      <c r="R112" s="205"/>
      <c r="S112" s="206"/>
      <c r="T112" s="206"/>
      <c r="U112" s="206"/>
      <c r="V112" s="206"/>
    </row>
    <row r="113" spans="15:22" ht="31.5" customHeight="1">
      <c r="O113" s="206"/>
      <c r="P113" s="206"/>
      <c r="Q113" s="204"/>
      <c r="R113" s="205"/>
      <c r="S113" s="206"/>
      <c r="T113" s="206"/>
      <c r="U113" s="206"/>
      <c r="V113" s="206"/>
    </row>
    <row r="114" spans="15:22" ht="31.5" customHeight="1">
      <c r="O114" s="206"/>
      <c r="P114" s="206"/>
      <c r="Q114" s="204"/>
      <c r="R114" s="205"/>
      <c r="S114" s="206"/>
      <c r="T114" s="206"/>
      <c r="U114" s="206"/>
      <c r="V114" s="206"/>
    </row>
    <row r="115" spans="15:22" ht="31.5" customHeight="1">
      <c r="O115" s="206"/>
      <c r="P115" s="206"/>
      <c r="Q115" s="204"/>
      <c r="R115" s="205"/>
      <c r="S115" s="206"/>
      <c r="T115" s="206"/>
      <c r="U115" s="206"/>
      <c r="V115" s="206"/>
    </row>
    <row r="116" spans="15:22" ht="31.5" customHeight="1">
      <c r="O116" s="206"/>
      <c r="P116" s="206"/>
      <c r="Q116" s="204"/>
      <c r="R116" s="205"/>
      <c r="S116" s="206"/>
      <c r="T116" s="206"/>
      <c r="U116" s="206"/>
      <c r="V116" s="206"/>
    </row>
    <row r="117" spans="15:22" ht="31.5" customHeight="1">
      <c r="O117" s="206"/>
      <c r="P117" s="206"/>
      <c r="Q117" s="204"/>
      <c r="R117" s="205"/>
      <c r="S117" s="206"/>
      <c r="T117" s="206"/>
      <c r="U117" s="206"/>
      <c r="V117" s="206"/>
    </row>
    <row r="118" spans="15:22" ht="31.5" customHeight="1">
      <c r="O118" s="206"/>
      <c r="P118" s="206"/>
      <c r="Q118" s="204"/>
      <c r="R118" s="205"/>
      <c r="S118" s="206"/>
      <c r="T118" s="206"/>
      <c r="U118" s="206"/>
      <c r="V118" s="206"/>
    </row>
    <row r="119" spans="15:22" ht="31.5" customHeight="1">
      <c r="O119" s="206"/>
      <c r="P119" s="206"/>
      <c r="Q119" s="204"/>
      <c r="R119" s="205"/>
      <c r="S119" s="206"/>
      <c r="T119" s="206"/>
      <c r="U119" s="206"/>
      <c r="V119" s="206"/>
    </row>
    <row r="120" spans="15:22" ht="31.5" customHeight="1">
      <c r="O120" s="206"/>
      <c r="P120" s="206"/>
      <c r="Q120" s="204"/>
      <c r="R120" s="205"/>
      <c r="S120" s="206"/>
      <c r="T120" s="206"/>
      <c r="U120" s="206"/>
      <c r="V120" s="206"/>
    </row>
    <row r="121" spans="15:22" ht="31.5" customHeight="1">
      <c r="O121" s="206"/>
      <c r="P121" s="206"/>
      <c r="Q121" s="204"/>
      <c r="R121" s="205"/>
      <c r="S121" s="206"/>
      <c r="T121" s="206"/>
      <c r="U121" s="206"/>
      <c r="V121" s="206"/>
    </row>
    <row r="122" spans="15:22" ht="31.5" customHeight="1">
      <c r="O122" s="206"/>
      <c r="P122" s="206"/>
      <c r="Q122" s="204"/>
      <c r="R122" s="205"/>
      <c r="S122" s="206"/>
      <c r="T122" s="206"/>
      <c r="U122" s="206"/>
      <c r="V122" s="206"/>
    </row>
    <row r="123" spans="15:22" ht="31.5" customHeight="1">
      <c r="O123" s="206"/>
      <c r="P123" s="206"/>
      <c r="Q123" s="204"/>
      <c r="R123" s="205"/>
      <c r="S123" s="206"/>
      <c r="T123" s="206"/>
      <c r="U123" s="206"/>
      <c r="V123" s="206"/>
    </row>
    <row r="124" spans="15:22" ht="31.5" customHeight="1">
      <c r="O124" s="206"/>
      <c r="P124" s="206"/>
      <c r="Q124" s="204"/>
      <c r="R124" s="205"/>
      <c r="S124" s="206"/>
      <c r="T124" s="206"/>
      <c r="U124" s="206"/>
      <c r="V124" s="206"/>
    </row>
    <row r="125" spans="15:22" ht="31.5" customHeight="1">
      <c r="O125" s="206"/>
      <c r="P125" s="206"/>
      <c r="Q125" s="204"/>
      <c r="R125" s="205"/>
      <c r="S125" s="206"/>
      <c r="T125" s="206"/>
      <c r="U125" s="206"/>
      <c r="V125" s="206"/>
    </row>
    <row r="126" spans="15:22" ht="31.5" customHeight="1">
      <c r="O126" s="206"/>
      <c r="P126" s="206"/>
      <c r="Q126" s="204"/>
      <c r="R126" s="205"/>
      <c r="S126" s="206"/>
      <c r="T126" s="206"/>
      <c r="U126" s="206"/>
      <c r="V126" s="206"/>
    </row>
    <row r="127" spans="15:22" ht="31.5" customHeight="1">
      <c r="O127" s="206"/>
      <c r="P127" s="206"/>
      <c r="Q127" s="204"/>
      <c r="R127" s="205"/>
      <c r="S127" s="206"/>
      <c r="T127" s="206"/>
      <c r="U127" s="206"/>
      <c r="V127" s="206"/>
    </row>
    <row r="128" spans="15:22" ht="31.5" customHeight="1">
      <c r="O128" s="206"/>
      <c r="P128" s="206"/>
      <c r="Q128" s="204"/>
      <c r="R128" s="205"/>
      <c r="S128" s="206"/>
      <c r="T128" s="206"/>
      <c r="U128" s="206"/>
      <c r="V128" s="206"/>
    </row>
    <row r="129" spans="15:22" ht="31.5" customHeight="1">
      <c r="O129" s="206"/>
      <c r="P129" s="206"/>
      <c r="Q129" s="204"/>
      <c r="R129" s="205"/>
      <c r="S129" s="206"/>
      <c r="T129" s="206"/>
      <c r="U129" s="206"/>
      <c r="V129" s="206"/>
    </row>
    <row r="130" spans="15:22" ht="31.5" customHeight="1">
      <c r="O130" s="206"/>
      <c r="P130" s="206"/>
      <c r="Q130" s="204"/>
      <c r="R130" s="205"/>
      <c r="S130" s="206"/>
      <c r="T130" s="206"/>
      <c r="U130" s="206"/>
      <c r="V130" s="206"/>
    </row>
    <row r="131" spans="15:22" ht="31.5" customHeight="1">
      <c r="O131" s="206"/>
      <c r="P131" s="206"/>
      <c r="Q131" s="204"/>
      <c r="R131" s="205"/>
      <c r="S131" s="206"/>
      <c r="T131" s="206"/>
      <c r="U131" s="206"/>
      <c r="V131" s="206"/>
    </row>
    <row r="132" spans="15:22" ht="31.5" customHeight="1">
      <c r="O132" s="206"/>
      <c r="P132" s="206"/>
      <c r="Q132" s="204"/>
      <c r="R132" s="205"/>
      <c r="S132" s="206"/>
      <c r="T132" s="206"/>
      <c r="U132" s="206"/>
      <c r="V132" s="206"/>
    </row>
    <row r="133" spans="15:22" ht="31.5" customHeight="1">
      <c r="O133" s="206"/>
      <c r="P133" s="206"/>
      <c r="Q133" s="204"/>
      <c r="R133" s="205"/>
      <c r="S133" s="206"/>
      <c r="T133" s="206"/>
      <c r="U133" s="206"/>
      <c r="V133" s="206"/>
    </row>
    <row r="134" spans="15:22" ht="31.5" customHeight="1">
      <c r="O134" s="206"/>
      <c r="P134" s="206"/>
      <c r="Q134" s="204"/>
      <c r="R134" s="205"/>
      <c r="S134" s="206"/>
      <c r="T134" s="206"/>
      <c r="U134" s="206"/>
      <c r="V134" s="206"/>
    </row>
    <row r="135" spans="15:22" ht="31.5" customHeight="1">
      <c r="O135" s="206"/>
      <c r="P135" s="206"/>
      <c r="Q135" s="204"/>
      <c r="R135" s="205"/>
      <c r="S135" s="206"/>
      <c r="T135" s="206"/>
      <c r="U135" s="206"/>
      <c r="V135" s="206"/>
    </row>
    <row r="136" spans="15:22" ht="31.5" customHeight="1">
      <c r="O136" s="206"/>
      <c r="P136" s="206"/>
      <c r="Q136" s="204"/>
      <c r="R136" s="205"/>
      <c r="S136" s="206"/>
      <c r="T136" s="206"/>
      <c r="U136" s="206"/>
      <c r="V136" s="206"/>
    </row>
    <row r="137" spans="15:22" ht="31.5" customHeight="1">
      <c r="O137" s="206"/>
      <c r="P137" s="206"/>
      <c r="Q137" s="204"/>
      <c r="R137" s="205"/>
      <c r="S137" s="206"/>
      <c r="T137" s="206"/>
      <c r="U137" s="206"/>
      <c r="V137" s="206"/>
    </row>
    <row r="138" spans="15:22" ht="31.5" customHeight="1">
      <c r="O138" s="206"/>
      <c r="P138" s="206"/>
      <c r="Q138" s="204"/>
      <c r="R138" s="205"/>
      <c r="S138" s="206"/>
      <c r="T138" s="206"/>
      <c r="U138" s="206"/>
      <c r="V138" s="206"/>
    </row>
    <row r="139" spans="15:22" ht="31.5" customHeight="1">
      <c r="O139" s="206"/>
      <c r="P139" s="206"/>
      <c r="Q139" s="204"/>
      <c r="R139" s="205"/>
      <c r="S139" s="206"/>
      <c r="T139" s="206"/>
      <c r="U139" s="206"/>
      <c r="V139" s="206"/>
    </row>
    <row r="140" spans="15:22" ht="31.5" customHeight="1">
      <c r="O140" s="206"/>
      <c r="P140" s="206"/>
      <c r="Q140" s="204"/>
      <c r="R140" s="205"/>
      <c r="S140" s="206"/>
      <c r="T140" s="206"/>
      <c r="U140" s="206"/>
      <c r="V140" s="206"/>
    </row>
    <row r="141" spans="15:22" ht="31.5" customHeight="1">
      <c r="O141" s="206"/>
      <c r="P141" s="206"/>
      <c r="Q141" s="204"/>
      <c r="R141" s="205"/>
      <c r="S141" s="206"/>
      <c r="T141" s="206"/>
      <c r="U141" s="206"/>
      <c r="V141" s="206"/>
    </row>
    <row r="142" spans="15:22" ht="31.5" customHeight="1">
      <c r="O142" s="206"/>
      <c r="P142" s="206"/>
      <c r="Q142" s="204"/>
      <c r="R142" s="205"/>
      <c r="S142" s="206"/>
      <c r="T142" s="206"/>
      <c r="U142" s="206"/>
      <c r="V142" s="206"/>
    </row>
    <row r="143" spans="15:22" ht="31.5" customHeight="1">
      <c r="O143" s="206"/>
      <c r="P143" s="206"/>
      <c r="Q143" s="204"/>
      <c r="R143" s="205"/>
      <c r="S143" s="206"/>
      <c r="T143" s="206"/>
      <c r="U143" s="206"/>
      <c r="V143" s="206"/>
    </row>
    <row r="144" spans="15:22" ht="31.5" customHeight="1">
      <c r="O144" s="206"/>
      <c r="P144" s="206"/>
      <c r="Q144" s="204"/>
      <c r="R144" s="205"/>
      <c r="S144" s="206"/>
      <c r="T144" s="206"/>
      <c r="U144" s="206"/>
      <c r="V144" s="206"/>
    </row>
    <row r="145" spans="15:22" ht="31.5" customHeight="1">
      <c r="O145" s="206"/>
      <c r="P145" s="206"/>
      <c r="Q145" s="204"/>
      <c r="R145" s="205"/>
      <c r="S145" s="206"/>
      <c r="T145" s="206"/>
      <c r="U145" s="206"/>
      <c r="V145" s="206"/>
    </row>
    <row r="146" spans="15:22" ht="31.5" customHeight="1">
      <c r="O146" s="206"/>
      <c r="P146" s="206"/>
      <c r="Q146" s="204"/>
      <c r="R146" s="205"/>
      <c r="S146" s="206"/>
      <c r="T146" s="206"/>
      <c r="U146" s="206"/>
      <c r="V146" s="206"/>
    </row>
    <row r="147" spans="15:22" ht="31.5" customHeight="1">
      <c r="O147" s="206"/>
      <c r="P147" s="206"/>
      <c r="Q147" s="204"/>
      <c r="R147" s="205"/>
      <c r="S147" s="206"/>
      <c r="T147" s="206"/>
      <c r="U147" s="206"/>
      <c r="V147" s="206"/>
    </row>
    <row r="148" spans="15:22" ht="31.5" customHeight="1">
      <c r="O148" s="206"/>
      <c r="P148" s="206"/>
      <c r="Q148" s="204"/>
      <c r="R148" s="205"/>
      <c r="S148" s="206"/>
      <c r="T148" s="206"/>
      <c r="U148" s="206"/>
      <c r="V148" s="206"/>
    </row>
    <row r="149" spans="15:22" ht="31.5" customHeight="1">
      <c r="O149" s="206"/>
      <c r="P149" s="206"/>
      <c r="Q149" s="204"/>
      <c r="R149" s="205"/>
      <c r="S149" s="206"/>
      <c r="T149" s="206"/>
      <c r="U149" s="206"/>
      <c r="V149" s="206"/>
    </row>
    <row r="150" spans="15:22" ht="31.5" customHeight="1">
      <c r="O150" s="206"/>
      <c r="P150" s="206"/>
      <c r="Q150" s="204"/>
      <c r="R150" s="205"/>
      <c r="S150" s="206"/>
      <c r="T150" s="206"/>
      <c r="U150" s="206"/>
      <c r="V150" s="206"/>
    </row>
    <row r="151" spans="15:22" ht="31.5" customHeight="1">
      <c r="O151" s="206"/>
      <c r="P151" s="206"/>
      <c r="Q151" s="204"/>
      <c r="R151" s="205"/>
      <c r="S151" s="206"/>
      <c r="T151" s="206"/>
      <c r="U151" s="206"/>
      <c r="V151" s="206"/>
    </row>
    <row r="152" spans="15:22" ht="31.5" customHeight="1">
      <c r="O152" s="206"/>
      <c r="P152" s="206"/>
      <c r="Q152" s="204"/>
      <c r="R152" s="205"/>
      <c r="S152" s="206"/>
      <c r="T152" s="206"/>
      <c r="U152" s="206"/>
      <c r="V152" s="206"/>
    </row>
    <row r="153" spans="15:22" ht="31.5" customHeight="1">
      <c r="O153" s="206"/>
      <c r="P153" s="206"/>
      <c r="Q153" s="204"/>
      <c r="R153" s="205"/>
      <c r="S153" s="206"/>
      <c r="T153" s="206"/>
      <c r="U153" s="206"/>
      <c r="V153" s="206"/>
    </row>
    <row r="154" spans="15:22" ht="31.5" customHeight="1">
      <c r="O154" s="206"/>
      <c r="P154" s="206"/>
      <c r="Q154" s="204"/>
      <c r="R154" s="205"/>
      <c r="S154" s="206"/>
      <c r="T154" s="206"/>
      <c r="U154" s="206"/>
      <c r="V154" s="206"/>
    </row>
    <row r="155" spans="15:22" ht="31.5" customHeight="1">
      <c r="O155" s="206"/>
      <c r="P155" s="206"/>
      <c r="Q155" s="204"/>
      <c r="R155" s="205"/>
      <c r="S155" s="206"/>
      <c r="T155" s="206"/>
      <c r="U155" s="206"/>
      <c r="V155" s="206"/>
    </row>
    <row r="156" spans="15:22" ht="31.5" customHeight="1">
      <c r="O156" s="206"/>
      <c r="P156" s="206"/>
      <c r="Q156" s="204"/>
      <c r="R156" s="205"/>
      <c r="S156" s="206"/>
      <c r="T156" s="206"/>
      <c r="U156" s="206"/>
      <c r="V156" s="206"/>
    </row>
    <row r="157" spans="15:22" ht="31.5" customHeight="1">
      <c r="O157" s="206"/>
      <c r="P157" s="206"/>
      <c r="Q157" s="204"/>
      <c r="R157" s="205"/>
      <c r="S157" s="206"/>
      <c r="T157" s="206"/>
      <c r="U157" s="206"/>
      <c r="V157" s="206"/>
    </row>
    <row r="158" spans="15:22" ht="31.5" customHeight="1">
      <c r="O158" s="206"/>
      <c r="P158" s="206"/>
      <c r="Q158" s="204"/>
      <c r="R158" s="205"/>
      <c r="S158" s="206"/>
      <c r="T158" s="206"/>
      <c r="U158" s="206"/>
      <c r="V158" s="206"/>
    </row>
    <row r="159" spans="15:22" ht="31.5" customHeight="1">
      <c r="O159" s="206"/>
      <c r="P159" s="206"/>
      <c r="Q159" s="204"/>
      <c r="R159" s="205"/>
      <c r="S159" s="206"/>
      <c r="T159" s="206"/>
      <c r="U159" s="206"/>
      <c r="V159" s="206"/>
    </row>
    <row r="160" spans="15:22" ht="31.5" customHeight="1">
      <c r="O160" s="206"/>
      <c r="P160" s="206"/>
      <c r="Q160" s="204"/>
      <c r="R160" s="205"/>
      <c r="S160" s="206"/>
      <c r="T160" s="206"/>
      <c r="U160" s="206"/>
      <c r="V160" s="206"/>
    </row>
    <row r="161" spans="15:22" ht="31.5" customHeight="1">
      <c r="O161" s="206"/>
      <c r="P161" s="206"/>
      <c r="Q161" s="204"/>
      <c r="R161" s="205"/>
      <c r="S161" s="206"/>
      <c r="T161" s="206"/>
      <c r="U161" s="206"/>
      <c r="V161" s="206"/>
    </row>
    <row r="162" spans="15:22" ht="31.5" customHeight="1">
      <c r="O162" s="206"/>
      <c r="P162" s="206"/>
      <c r="Q162" s="204"/>
      <c r="R162" s="205"/>
      <c r="S162" s="206"/>
      <c r="T162" s="206"/>
      <c r="U162" s="206"/>
      <c r="V162" s="206"/>
    </row>
    <row r="163" spans="15:22" ht="31.5" customHeight="1">
      <c r="O163" s="206"/>
      <c r="P163" s="206"/>
      <c r="Q163" s="204"/>
      <c r="R163" s="205"/>
      <c r="S163" s="206"/>
      <c r="T163" s="206"/>
      <c r="U163" s="206"/>
      <c r="V163" s="206"/>
    </row>
    <row r="164" spans="15:22" ht="31.5" customHeight="1">
      <c r="O164" s="206"/>
      <c r="P164" s="206"/>
      <c r="Q164" s="204"/>
      <c r="R164" s="205"/>
      <c r="S164" s="206"/>
      <c r="T164" s="206"/>
      <c r="U164" s="206"/>
      <c r="V164" s="206"/>
    </row>
    <row r="165" spans="15:22" ht="31.5" customHeight="1">
      <c r="O165" s="206"/>
      <c r="P165" s="206"/>
      <c r="Q165" s="204"/>
      <c r="R165" s="205"/>
      <c r="S165" s="206"/>
      <c r="T165" s="206"/>
      <c r="U165" s="206"/>
      <c r="V165" s="206"/>
    </row>
    <row r="166" spans="15:22" ht="31.5" customHeight="1">
      <c r="O166" s="206"/>
      <c r="P166" s="206"/>
      <c r="Q166" s="204"/>
      <c r="R166" s="205"/>
      <c r="S166" s="206"/>
      <c r="T166" s="206"/>
      <c r="U166" s="206"/>
      <c r="V166" s="206"/>
    </row>
    <row r="167" spans="15:22" ht="31.5" customHeight="1">
      <c r="O167" s="206"/>
      <c r="P167" s="206"/>
      <c r="Q167" s="204"/>
      <c r="R167" s="205"/>
      <c r="S167" s="206"/>
      <c r="T167" s="206"/>
      <c r="U167" s="206"/>
      <c r="V167" s="206"/>
    </row>
    <row r="168" spans="15:22" ht="31.5" customHeight="1">
      <c r="O168" s="206"/>
      <c r="P168" s="206"/>
      <c r="Q168" s="204"/>
      <c r="R168" s="205"/>
      <c r="S168" s="206"/>
      <c r="T168" s="206"/>
      <c r="U168" s="206"/>
      <c r="V168" s="206"/>
    </row>
    <row r="169" spans="15:22" ht="31.5" customHeight="1">
      <c r="O169" s="206"/>
      <c r="P169" s="206"/>
      <c r="Q169" s="204"/>
      <c r="R169" s="205"/>
      <c r="S169" s="206"/>
      <c r="T169" s="206"/>
      <c r="U169" s="206"/>
      <c r="V169" s="206"/>
    </row>
    <row r="170" spans="15:22" ht="31.5" customHeight="1">
      <c r="O170" s="206"/>
      <c r="P170" s="206"/>
      <c r="Q170" s="204"/>
      <c r="R170" s="205"/>
      <c r="S170" s="206"/>
      <c r="T170" s="206"/>
      <c r="U170" s="206"/>
      <c r="V170" s="206"/>
    </row>
    <row r="171" spans="15:22" ht="31.5" customHeight="1">
      <c r="O171" s="206"/>
      <c r="P171" s="206"/>
      <c r="Q171" s="204"/>
      <c r="R171" s="205"/>
      <c r="S171" s="206"/>
      <c r="T171" s="206"/>
      <c r="U171" s="206"/>
      <c r="V171" s="206"/>
    </row>
    <row r="172" spans="15:22" ht="31.5" customHeight="1">
      <c r="O172" s="206"/>
      <c r="P172" s="206"/>
      <c r="Q172" s="204"/>
      <c r="R172" s="205"/>
      <c r="S172" s="206"/>
      <c r="T172" s="206"/>
      <c r="U172" s="206"/>
      <c r="V172" s="206"/>
    </row>
    <row r="173" spans="15:22" ht="31.5" customHeight="1">
      <c r="O173" s="206"/>
      <c r="P173" s="206"/>
      <c r="Q173" s="204"/>
      <c r="R173" s="205"/>
      <c r="S173" s="206"/>
      <c r="T173" s="206"/>
      <c r="U173" s="206"/>
      <c r="V173" s="206"/>
    </row>
    <row r="174" spans="15:22" ht="31.5" customHeight="1">
      <c r="O174" s="206"/>
      <c r="P174" s="206"/>
      <c r="Q174" s="204"/>
      <c r="R174" s="205"/>
      <c r="S174" s="206"/>
      <c r="T174" s="206"/>
      <c r="U174" s="206"/>
      <c r="V174" s="206"/>
    </row>
    <row r="175" spans="15:22" ht="31.5" customHeight="1">
      <c r="O175" s="206"/>
      <c r="P175" s="206"/>
      <c r="Q175" s="204"/>
      <c r="R175" s="205"/>
      <c r="S175" s="206"/>
      <c r="T175" s="206"/>
      <c r="U175" s="206"/>
      <c r="V175" s="206"/>
    </row>
    <row r="176" spans="15:22" ht="31.5" customHeight="1">
      <c r="O176" s="206"/>
      <c r="P176" s="206"/>
      <c r="Q176" s="204"/>
      <c r="R176" s="205"/>
      <c r="S176" s="206"/>
      <c r="T176" s="206"/>
      <c r="U176" s="206"/>
      <c r="V176" s="206"/>
    </row>
    <row r="177" spans="15:22" ht="31.5" customHeight="1">
      <c r="O177" s="206"/>
      <c r="P177" s="206"/>
      <c r="Q177" s="204"/>
      <c r="R177" s="205"/>
      <c r="S177" s="206"/>
      <c r="T177" s="206"/>
      <c r="U177" s="206"/>
      <c r="V177" s="206"/>
    </row>
    <row r="178" spans="15:22" ht="31.5" customHeight="1">
      <c r="O178" s="206"/>
      <c r="P178" s="206"/>
      <c r="Q178" s="204"/>
      <c r="R178" s="205"/>
      <c r="S178" s="206"/>
      <c r="T178" s="206"/>
      <c r="U178" s="206"/>
      <c r="V178" s="206"/>
    </row>
    <row r="179" spans="15:22" ht="31.5" customHeight="1">
      <c r="O179" s="206"/>
      <c r="P179" s="206"/>
      <c r="Q179" s="204"/>
      <c r="R179" s="205"/>
      <c r="S179" s="206"/>
      <c r="T179" s="206"/>
      <c r="U179" s="206"/>
      <c r="V179" s="206"/>
    </row>
    <row r="180" spans="15:22" ht="31.5" customHeight="1">
      <c r="O180" s="206"/>
      <c r="P180" s="206"/>
      <c r="Q180" s="204"/>
      <c r="R180" s="205"/>
      <c r="S180" s="206"/>
      <c r="T180" s="206"/>
      <c r="U180" s="206"/>
      <c r="V180" s="206"/>
    </row>
    <row r="181" spans="15:22" ht="31.5" customHeight="1">
      <c r="O181" s="206"/>
      <c r="P181" s="206"/>
      <c r="Q181" s="204"/>
      <c r="R181" s="205"/>
      <c r="S181" s="206"/>
      <c r="T181" s="206"/>
      <c r="U181" s="206"/>
      <c r="V181" s="206"/>
    </row>
    <row r="182" spans="15:22" ht="31.5" customHeight="1">
      <c r="O182" s="206"/>
      <c r="P182" s="206"/>
      <c r="Q182" s="204"/>
      <c r="R182" s="205"/>
      <c r="S182" s="206"/>
      <c r="T182" s="206"/>
      <c r="U182" s="206"/>
      <c r="V182" s="206"/>
    </row>
    <row r="183" spans="15:22" ht="31.5" customHeight="1">
      <c r="O183" s="206"/>
      <c r="P183" s="206"/>
      <c r="Q183" s="204"/>
      <c r="R183" s="205"/>
      <c r="S183" s="206"/>
      <c r="T183" s="206"/>
      <c r="U183" s="206"/>
      <c r="V183" s="206"/>
    </row>
    <row r="184" spans="15:22" ht="31.5" customHeight="1">
      <c r="O184" s="206"/>
      <c r="P184" s="206"/>
      <c r="Q184" s="204"/>
      <c r="R184" s="205"/>
      <c r="S184" s="206"/>
      <c r="T184" s="206"/>
      <c r="U184" s="206"/>
      <c r="V184" s="206"/>
    </row>
    <row r="185" spans="15:22" ht="31.5" customHeight="1">
      <c r="O185" s="206"/>
      <c r="P185" s="206"/>
      <c r="Q185" s="204"/>
      <c r="R185" s="205"/>
      <c r="S185" s="206"/>
      <c r="T185" s="206"/>
      <c r="U185" s="206"/>
      <c r="V185" s="206"/>
    </row>
    <row r="186" spans="15:22" ht="31.5" customHeight="1">
      <c r="O186" s="206"/>
      <c r="P186" s="206"/>
      <c r="Q186" s="204"/>
      <c r="R186" s="205"/>
      <c r="S186" s="206"/>
      <c r="T186" s="206"/>
      <c r="U186" s="206"/>
      <c r="V186" s="206"/>
    </row>
    <row r="187" spans="15:22" ht="31.5" customHeight="1">
      <c r="O187" s="206"/>
      <c r="P187" s="206"/>
      <c r="Q187" s="204"/>
      <c r="R187" s="205"/>
      <c r="S187" s="206"/>
      <c r="T187" s="206"/>
      <c r="U187" s="206"/>
      <c r="V187" s="206"/>
    </row>
    <row r="188" spans="15:22" ht="31.5" customHeight="1">
      <c r="O188" s="206"/>
      <c r="P188" s="206"/>
      <c r="Q188" s="204"/>
      <c r="R188" s="205"/>
      <c r="S188" s="206"/>
      <c r="T188" s="206"/>
      <c r="U188" s="206"/>
      <c r="V188" s="206"/>
    </row>
    <row r="189" spans="15:22" ht="31.5" customHeight="1">
      <c r="O189" s="206"/>
      <c r="P189" s="206"/>
      <c r="Q189" s="204"/>
      <c r="R189" s="205"/>
      <c r="S189" s="206"/>
      <c r="T189" s="206"/>
      <c r="U189" s="206"/>
      <c r="V189" s="206"/>
    </row>
    <row r="190" spans="15:22" ht="31.5" customHeight="1">
      <c r="O190" s="206"/>
      <c r="P190" s="206"/>
      <c r="Q190" s="204"/>
      <c r="R190" s="205"/>
      <c r="S190" s="206"/>
      <c r="T190" s="206"/>
      <c r="U190" s="206"/>
      <c r="V190" s="206"/>
    </row>
    <row r="191" spans="15:22" ht="31.5" customHeight="1">
      <c r="O191" s="206"/>
      <c r="P191" s="206"/>
      <c r="Q191" s="204"/>
      <c r="R191" s="205"/>
      <c r="S191" s="206"/>
      <c r="T191" s="206"/>
      <c r="U191" s="206"/>
      <c r="V191" s="206"/>
    </row>
    <row r="192" spans="15:22" ht="31.5" customHeight="1">
      <c r="O192" s="206"/>
      <c r="P192" s="206"/>
      <c r="Q192" s="204"/>
      <c r="R192" s="205"/>
      <c r="S192" s="206"/>
      <c r="T192" s="206"/>
      <c r="U192" s="206"/>
      <c r="V192" s="206"/>
    </row>
    <row r="193" spans="15:22" ht="31.5" customHeight="1">
      <c r="O193" s="206"/>
      <c r="P193" s="206"/>
      <c r="Q193" s="204"/>
      <c r="R193" s="205"/>
      <c r="S193" s="206"/>
      <c r="T193" s="206"/>
      <c r="U193" s="206"/>
      <c r="V193" s="206"/>
    </row>
    <row r="194" spans="15:22" ht="31.5" customHeight="1">
      <c r="O194" s="206"/>
      <c r="P194" s="206"/>
      <c r="Q194" s="204"/>
      <c r="R194" s="205"/>
      <c r="S194" s="206"/>
      <c r="T194" s="206"/>
      <c r="U194" s="206"/>
      <c r="V194" s="206"/>
    </row>
    <row r="195" spans="15:22" ht="31.5" customHeight="1">
      <c r="O195" s="206"/>
      <c r="P195" s="206"/>
      <c r="Q195" s="204"/>
      <c r="R195" s="205"/>
      <c r="S195" s="206"/>
      <c r="T195" s="206"/>
      <c r="U195" s="206"/>
      <c r="V195" s="206"/>
    </row>
    <row r="196" spans="15:22" ht="31.5" customHeight="1">
      <c r="O196" s="206"/>
      <c r="P196" s="206"/>
      <c r="Q196" s="204"/>
      <c r="R196" s="205"/>
      <c r="S196" s="206"/>
      <c r="T196" s="206"/>
      <c r="U196" s="206"/>
      <c r="V196" s="206"/>
    </row>
    <row r="197" spans="15:22" ht="31.5" customHeight="1">
      <c r="O197" s="206"/>
      <c r="P197" s="206"/>
      <c r="Q197" s="204"/>
      <c r="R197" s="205"/>
      <c r="S197" s="206"/>
      <c r="T197" s="206"/>
      <c r="U197" s="206"/>
      <c r="V197" s="206"/>
    </row>
    <row r="198" spans="15:22" ht="31.5" customHeight="1">
      <c r="O198" s="206"/>
      <c r="P198" s="206"/>
      <c r="Q198" s="204"/>
      <c r="R198" s="205"/>
      <c r="S198" s="206"/>
      <c r="T198" s="206"/>
      <c r="U198" s="206"/>
      <c r="V198" s="206"/>
    </row>
    <row r="199" spans="15:22" ht="31.5" customHeight="1">
      <c r="O199" s="206"/>
      <c r="P199" s="206"/>
      <c r="Q199" s="204"/>
      <c r="R199" s="205"/>
      <c r="S199" s="206"/>
      <c r="T199" s="206"/>
      <c r="U199" s="206"/>
      <c r="V199" s="206"/>
    </row>
    <row r="200" spans="15:22" ht="31.5" customHeight="1">
      <c r="O200" s="206"/>
      <c r="P200" s="206"/>
      <c r="Q200" s="204"/>
      <c r="R200" s="205"/>
      <c r="S200" s="206"/>
      <c r="T200" s="206"/>
      <c r="U200" s="206"/>
      <c r="V200" s="206"/>
    </row>
    <row r="201" spans="15:22" ht="31.5" customHeight="1">
      <c r="O201" s="206"/>
      <c r="P201" s="206"/>
      <c r="Q201" s="204"/>
      <c r="R201" s="205"/>
      <c r="S201" s="206"/>
      <c r="T201" s="206"/>
      <c r="U201" s="206"/>
      <c r="V201" s="206"/>
    </row>
    <row r="202" spans="15:22" ht="31.5" customHeight="1">
      <c r="O202" s="206"/>
      <c r="P202" s="206"/>
      <c r="Q202" s="204"/>
      <c r="R202" s="205"/>
      <c r="S202" s="206"/>
      <c r="T202" s="206"/>
      <c r="U202" s="206"/>
      <c r="V202" s="206"/>
    </row>
    <row r="203" spans="15:22" ht="31.5" customHeight="1">
      <c r="O203" s="206"/>
      <c r="P203" s="206"/>
      <c r="Q203" s="204"/>
      <c r="R203" s="205"/>
      <c r="S203" s="206"/>
      <c r="T203" s="206"/>
      <c r="U203" s="206"/>
      <c r="V203" s="206"/>
    </row>
    <row r="204" spans="15:22" ht="31.5" customHeight="1">
      <c r="O204" s="206"/>
      <c r="P204" s="206"/>
      <c r="Q204" s="204"/>
      <c r="R204" s="205"/>
      <c r="S204" s="206"/>
      <c r="T204" s="206"/>
      <c r="U204" s="206"/>
      <c r="V204" s="206"/>
    </row>
    <row r="205" spans="15:22" ht="31.5" customHeight="1">
      <c r="O205" s="206"/>
      <c r="P205" s="206"/>
      <c r="Q205" s="204"/>
      <c r="R205" s="205"/>
      <c r="S205" s="206"/>
      <c r="T205" s="206"/>
      <c r="U205" s="206"/>
      <c r="V205" s="206"/>
    </row>
    <row r="206" spans="15:22" ht="31.5" customHeight="1">
      <c r="O206" s="206"/>
      <c r="P206" s="206"/>
      <c r="Q206" s="204"/>
      <c r="R206" s="205"/>
      <c r="S206" s="206"/>
      <c r="T206" s="206"/>
      <c r="U206" s="206"/>
      <c r="V206" s="206"/>
    </row>
    <row r="207" spans="15:22" ht="31.5" customHeight="1">
      <c r="O207" s="206"/>
      <c r="P207" s="206"/>
      <c r="Q207" s="204"/>
      <c r="R207" s="205"/>
      <c r="S207" s="206"/>
      <c r="T207" s="206"/>
      <c r="U207" s="206"/>
      <c r="V207" s="206"/>
    </row>
    <row r="208" spans="15:22" ht="31.5" customHeight="1">
      <c r="O208" s="206"/>
      <c r="P208" s="206"/>
      <c r="Q208" s="204"/>
      <c r="R208" s="205"/>
      <c r="S208" s="206"/>
      <c r="T208" s="206"/>
      <c r="U208" s="206"/>
      <c r="V208" s="206"/>
    </row>
    <row r="209" spans="15:22" ht="31.5" customHeight="1">
      <c r="O209" s="206"/>
      <c r="P209" s="206"/>
      <c r="Q209" s="204"/>
      <c r="R209" s="205"/>
      <c r="S209" s="206"/>
      <c r="T209" s="206"/>
      <c r="U209" s="206"/>
      <c r="V209" s="206"/>
    </row>
    <row r="210" spans="15:22" ht="31.5" customHeight="1">
      <c r="O210" s="206"/>
      <c r="P210" s="206"/>
      <c r="Q210" s="204"/>
      <c r="R210" s="205"/>
      <c r="S210" s="206"/>
      <c r="T210" s="206"/>
      <c r="U210" s="206"/>
      <c r="V210" s="206"/>
    </row>
    <row r="211" spans="15:22" ht="31.5" customHeight="1">
      <c r="O211" s="206"/>
      <c r="P211" s="206"/>
      <c r="Q211" s="204"/>
      <c r="R211" s="205"/>
      <c r="S211" s="206"/>
      <c r="T211" s="206"/>
      <c r="U211" s="206"/>
      <c r="V211" s="206"/>
    </row>
    <row r="212" spans="15:22" ht="31.5" customHeight="1">
      <c r="O212" s="206"/>
      <c r="P212" s="206"/>
      <c r="Q212" s="204"/>
      <c r="R212" s="205"/>
      <c r="S212" s="206"/>
      <c r="T212" s="206"/>
      <c r="U212" s="206"/>
      <c r="V212" s="206"/>
    </row>
    <row r="213" spans="15:22" ht="31.5" customHeight="1">
      <c r="O213" s="206"/>
      <c r="P213" s="206"/>
      <c r="Q213" s="204"/>
      <c r="R213" s="205"/>
      <c r="S213" s="206"/>
      <c r="T213" s="206"/>
      <c r="U213" s="206"/>
      <c r="V213" s="206"/>
    </row>
    <row r="214" spans="15:22" ht="31.5" customHeight="1">
      <c r="O214" s="206"/>
      <c r="P214" s="206"/>
      <c r="Q214" s="204"/>
      <c r="R214" s="205"/>
      <c r="S214" s="206"/>
      <c r="T214" s="206"/>
      <c r="U214" s="206"/>
      <c r="V214" s="206"/>
    </row>
    <row r="215" spans="15:22" ht="31.5" customHeight="1">
      <c r="O215" s="206"/>
      <c r="P215" s="206"/>
      <c r="Q215" s="204"/>
      <c r="R215" s="205"/>
      <c r="S215" s="206"/>
      <c r="T215" s="206"/>
      <c r="U215" s="206"/>
      <c r="V215" s="206"/>
    </row>
    <row r="216" spans="15:22" ht="31.5" customHeight="1">
      <c r="O216" s="206"/>
      <c r="P216" s="206"/>
      <c r="Q216" s="204"/>
      <c r="R216" s="205"/>
      <c r="S216" s="206"/>
      <c r="T216" s="206"/>
      <c r="U216" s="206"/>
      <c r="V216" s="206"/>
    </row>
    <row r="217" spans="15:22" ht="31.5" customHeight="1">
      <c r="O217" s="206"/>
      <c r="P217" s="206"/>
      <c r="Q217" s="204"/>
      <c r="R217" s="205"/>
      <c r="S217" s="206"/>
      <c r="T217" s="206"/>
      <c r="U217" s="206"/>
      <c r="V217" s="206"/>
    </row>
    <row r="218" spans="15:22" ht="31.5" customHeight="1">
      <c r="O218" s="206"/>
      <c r="P218" s="206"/>
      <c r="Q218" s="204"/>
      <c r="R218" s="205"/>
      <c r="S218" s="206"/>
      <c r="T218" s="206"/>
      <c r="U218" s="206"/>
      <c r="V218" s="206"/>
    </row>
    <row r="219" spans="15:22" ht="31.5" customHeight="1">
      <c r="O219" s="206"/>
      <c r="P219" s="206"/>
      <c r="Q219" s="204"/>
      <c r="R219" s="205"/>
      <c r="S219" s="206"/>
      <c r="T219" s="206"/>
      <c r="U219" s="206"/>
      <c r="V219" s="206"/>
    </row>
    <row r="220" spans="15:22" ht="31.5" customHeight="1">
      <c r="O220" s="206"/>
      <c r="P220" s="206"/>
      <c r="Q220" s="204"/>
      <c r="R220" s="205"/>
      <c r="S220" s="206"/>
      <c r="T220" s="206"/>
      <c r="U220" s="206"/>
      <c r="V220" s="206"/>
    </row>
    <row r="221" spans="15:22" ht="31.5" customHeight="1">
      <c r="O221" s="206"/>
      <c r="P221" s="206"/>
      <c r="Q221" s="204"/>
      <c r="R221" s="205"/>
      <c r="S221" s="206"/>
      <c r="T221" s="206"/>
      <c r="U221" s="206"/>
      <c r="V221" s="206"/>
    </row>
    <row r="222" spans="15:22" ht="31.5" customHeight="1">
      <c r="O222" s="206"/>
      <c r="P222" s="206"/>
      <c r="Q222" s="204"/>
      <c r="R222" s="205"/>
      <c r="S222" s="206"/>
      <c r="T222" s="206"/>
      <c r="U222" s="206"/>
      <c r="V222" s="206"/>
    </row>
    <row r="223" spans="15:22" ht="31.5" customHeight="1">
      <c r="O223" s="206"/>
      <c r="P223" s="206"/>
      <c r="Q223" s="204"/>
      <c r="R223" s="205"/>
      <c r="S223" s="206"/>
      <c r="T223" s="206"/>
      <c r="U223" s="206"/>
      <c r="V223" s="206"/>
    </row>
    <row r="224" spans="15:22" ht="31.5" customHeight="1">
      <c r="O224" s="206"/>
      <c r="P224" s="206"/>
      <c r="Q224" s="204"/>
      <c r="R224" s="205"/>
      <c r="S224" s="206"/>
      <c r="T224" s="206"/>
      <c r="U224" s="206"/>
      <c r="V224" s="206"/>
    </row>
    <row r="225" spans="15:22" ht="31.5" customHeight="1">
      <c r="O225" s="206"/>
      <c r="P225" s="206"/>
      <c r="Q225" s="204"/>
      <c r="R225" s="205"/>
      <c r="S225" s="206"/>
      <c r="T225" s="206"/>
      <c r="U225" s="206"/>
      <c r="V225" s="206"/>
    </row>
    <row r="226" spans="15:22" ht="31.5" customHeight="1">
      <c r="O226" s="206"/>
      <c r="P226" s="206"/>
      <c r="Q226" s="204"/>
      <c r="R226" s="205"/>
      <c r="S226" s="206"/>
      <c r="T226" s="206"/>
      <c r="U226" s="206"/>
      <c r="V226" s="206"/>
    </row>
    <row r="227" spans="15:22" ht="31.5" customHeight="1">
      <c r="O227" s="206"/>
      <c r="P227" s="206"/>
      <c r="Q227" s="204"/>
      <c r="R227" s="205"/>
      <c r="S227" s="206"/>
      <c r="T227" s="206"/>
      <c r="U227" s="206"/>
      <c r="V227" s="206"/>
    </row>
    <row r="228" spans="15:22" ht="31.5" customHeight="1">
      <c r="O228" s="206"/>
      <c r="P228" s="206"/>
      <c r="Q228" s="204"/>
      <c r="R228" s="205"/>
      <c r="S228" s="206"/>
      <c r="T228" s="206"/>
      <c r="U228" s="206"/>
      <c r="V228" s="206"/>
    </row>
    <row r="229" spans="15:22" ht="31.5" customHeight="1">
      <c r="O229" s="206"/>
      <c r="P229" s="206"/>
      <c r="Q229" s="204"/>
      <c r="R229" s="205"/>
      <c r="S229" s="206"/>
      <c r="T229" s="206"/>
      <c r="U229" s="206"/>
      <c r="V229" s="206"/>
    </row>
    <row r="230" spans="15:22" ht="31.5" customHeight="1">
      <c r="O230" s="206"/>
      <c r="P230" s="206"/>
      <c r="Q230" s="204"/>
      <c r="R230" s="205"/>
      <c r="S230" s="206"/>
      <c r="T230" s="206"/>
      <c r="U230" s="206"/>
      <c r="V230" s="206"/>
    </row>
    <row r="231" spans="15:22" ht="31.5" customHeight="1">
      <c r="O231" s="206"/>
      <c r="P231" s="206"/>
      <c r="Q231" s="204"/>
      <c r="R231" s="205"/>
      <c r="S231" s="206"/>
      <c r="T231" s="206"/>
      <c r="U231" s="206"/>
      <c r="V231" s="206"/>
    </row>
    <row r="232" spans="15:22" ht="31.5" customHeight="1">
      <c r="O232" s="206"/>
      <c r="P232" s="206"/>
      <c r="Q232" s="204"/>
      <c r="R232" s="205"/>
      <c r="S232" s="206"/>
      <c r="T232" s="206"/>
      <c r="U232" s="206"/>
      <c r="V232" s="206"/>
    </row>
    <row r="233" spans="15:22" ht="31.5" customHeight="1">
      <c r="O233" s="206"/>
      <c r="P233" s="206"/>
      <c r="Q233" s="204"/>
      <c r="R233" s="205"/>
      <c r="S233" s="206"/>
      <c r="T233" s="206"/>
      <c r="U233" s="206"/>
      <c r="V233" s="206"/>
    </row>
    <row r="234" spans="15:22" ht="31.5" customHeight="1">
      <c r="O234" s="206"/>
      <c r="P234" s="206"/>
      <c r="Q234" s="204"/>
      <c r="R234" s="205"/>
      <c r="S234" s="206"/>
      <c r="T234" s="206"/>
      <c r="U234" s="206"/>
      <c r="V234" s="206"/>
    </row>
    <row r="235" spans="15:22" ht="31.5" customHeight="1">
      <c r="O235" s="206"/>
      <c r="P235" s="206"/>
      <c r="Q235" s="204"/>
      <c r="R235" s="205"/>
      <c r="S235" s="206"/>
      <c r="T235" s="206"/>
      <c r="U235" s="206"/>
      <c r="V235" s="206"/>
    </row>
    <row r="236" spans="15:22" ht="31.5" customHeight="1">
      <c r="O236" s="206"/>
      <c r="P236" s="206"/>
      <c r="Q236" s="204"/>
      <c r="R236" s="205"/>
      <c r="S236" s="206"/>
      <c r="T236" s="206"/>
      <c r="U236" s="206"/>
      <c r="V236" s="206"/>
    </row>
    <row r="237" spans="15:22" ht="31.5" customHeight="1">
      <c r="O237" s="206"/>
      <c r="P237" s="206"/>
      <c r="Q237" s="204"/>
      <c r="R237" s="205"/>
      <c r="S237" s="206"/>
      <c r="T237" s="206"/>
      <c r="U237" s="206"/>
      <c r="V237" s="206"/>
    </row>
    <row r="238" spans="15:22" ht="31.5" customHeight="1">
      <c r="O238" s="206"/>
      <c r="P238" s="206"/>
      <c r="Q238" s="204"/>
      <c r="R238" s="205"/>
      <c r="S238" s="206"/>
      <c r="T238" s="206"/>
      <c r="U238" s="206"/>
      <c r="V238" s="206"/>
    </row>
    <row r="239" spans="15:22" ht="31.5" customHeight="1">
      <c r="O239" s="206"/>
      <c r="P239" s="206"/>
      <c r="Q239" s="204"/>
      <c r="R239" s="205"/>
      <c r="S239" s="206"/>
      <c r="T239" s="206"/>
      <c r="U239" s="206"/>
      <c r="V239" s="206"/>
    </row>
    <row r="240" spans="15:22" ht="31.5" customHeight="1">
      <c r="O240" s="206"/>
      <c r="P240" s="206"/>
      <c r="Q240" s="204"/>
      <c r="R240" s="205"/>
      <c r="S240" s="206"/>
      <c r="T240" s="206"/>
      <c r="U240" s="206"/>
      <c r="V240" s="206"/>
    </row>
    <row r="241" spans="15:22" ht="31.5" customHeight="1">
      <c r="O241" s="206"/>
      <c r="P241" s="206"/>
      <c r="Q241" s="204"/>
      <c r="R241" s="205"/>
      <c r="S241" s="206"/>
      <c r="T241" s="206"/>
      <c r="U241" s="206"/>
      <c r="V241" s="206"/>
    </row>
    <row r="242" spans="15:22" ht="31.5" customHeight="1">
      <c r="O242" s="206"/>
      <c r="P242" s="206"/>
      <c r="Q242" s="204"/>
      <c r="R242" s="205"/>
      <c r="S242" s="206"/>
      <c r="T242" s="206"/>
      <c r="U242" s="206"/>
      <c r="V242" s="206"/>
    </row>
    <row r="243" spans="15:22" ht="31.5" customHeight="1">
      <c r="O243" s="206"/>
      <c r="P243" s="206"/>
      <c r="Q243" s="204"/>
      <c r="R243" s="205"/>
      <c r="S243" s="206"/>
      <c r="T243" s="206"/>
      <c r="U243" s="206"/>
      <c r="V243" s="206"/>
    </row>
    <row r="244" spans="15:22" ht="31.5" customHeight="1">
      <c r="O244" s="206"/>
      <c r="P244" s="206"/>
      <c r="Q244" s="204"/>
      <c r="R244" s="205"/>
      <c r="S244" s="206"/>
      <c r="T244" s="206"/>
      <c r="U244" s="206"/>
      <c r="V244" s="206"/>
    </row>
    <row r="245" spans="15:22" ht="31.5" customHeight="1">
      <c r="O245" s="206"/>
      <c r="P245" s="206"/>
      <c r="Q245" s="204"/>
      <c r="R245" s="205"/>
      <c r="S245" s="206"/>
      <c r="T245" s="206"/>
      <c r="U245" s="206"/>
      <c r="V245" s="206"/>
    </row>
    <row r="246" spans="15:22" ht="31.5" customHeight="1">
      <c r="O246" s="206"/>
      <c r="P246" s="206"/>
      <c r="Q246" s="204"/>
      <c r="R246" s="205"/>
      <c r="S246" s="206"/>
      <c r="T246" s="206"/>
      <c r="U246" s="206"/>
      <c r="V246" s="206"/>
    </row>
    <row r="247" spans="15:22" ht="31.5" customHeight="1">
      <c r="O247" s="206"/>
      <c r="P247" s="206"/>
      <c r="Q247" s="204"/>
      <c r="R247" s="205"/>
      <c r="S247" s="206"/>
      <c r="T247" s="206"/>
      <c r="U247" s="206"/>
      <c r="V247" s="206"/>
    </row>
    <row r="248" spans="15:22" ht="31.5" customHeight="1">
      <c r="O248" s="206"/>
      <c r="P248" s="206"/>
      <c r="Q248" s="204"/>
      <c r="R248" s="205"/>
      <c r="S248" s="206"/>
      <c r="T248" s="206"/>
      <c r="U248" s="206"/>
      <c r="V248" s="206"/>
    </row>
    <row r="249" spans="15:22" ht="31.5" customHeight="1">
      <c r="O249" s="206"/>
      <c r="P249" s="206"/>
      <c r="Q249" s="204"/>
      <c r="R249" s="205"/>
      <c r="S249" s="206"/>
      <c r="T249" s="206"/>
      <c r="U249" s="206"/>
      <c r="V249" s="206"/>
    </row>
    <row r="250" spans="15:22" ht="31.5" customHeight="1">
      <c r="O250" s="206"/>
      <c r="P250" s="206"/>
      <c r="Q250" s="204"/>
      <c r="R250" s="205"/>
      <c r="S250" s="206"/>
      <c r="T250" s="206"/>
      <c r="U250" s="206"/>
      <c r="V250" s="206"/>
    </row>
    <row r="251" spans="15:22" ht="31.5" customHeight="1">
      <c r="O251" s="206"/>
      <c r="P251" s="206"/>
      <c r="Q251" s="204"/>
      <c r="R251" s="205"/>
      <c r="S251" s="206"/>
      <c r="T251" s="206"/>
      <c r="U251" s="206"/>
      <c r="V251" s="206"/>
    </row>
    <row r="252" spans="15:22" ht="31.5" customHeight="1">
      <c r="O252" s="206"/>
      <c r="P252" s="206"/>
      <c r="Q252" s="204"/>
      <c r="R252" s="205"/>
      <c r="S252" s="206"/>
      <c r="T252" s="206"/>
      <c r="U252" s="206"/>
      <c r="V252" s="206"/>
    </row>
    <row r="253" spans="15:22" ht="31.5" customHeight="1">
      <c r="O253" s="206"/>
      <c r="P253" s="206"/>
      <c r="Q253" s="204"/>
      <c r="R253" s="205"/>
      <c r="S253" s="206"/>
      <c r="T253" s="206"/>
      <c r="U253" s="206"/>
      <c r="V253" s="206"/>
    </row>
    <row r="254" spans="15:22" ht="31.5" customHeight="1">
      <c r="O254" s="206"/>
      <c r="P254" s="206"/>
      <c r="Q254" s="204"/>
      <c r="R254" s="205"/>
      <c r="S254" s="206"/>
      <c r="T254" s="206"/>
      <c r="U254" s="206"/>
      <c r="V254" s="206"/>
    </row>
    <row r="255" spans="15:22" ht="31.5" customHeight="1">
      <c r="O255" s="206"/>
      <c r="P255" s="206"/>
      <c r="Q255" s="204"/>
      <c r="R255" s="205"/>
      <c r="S255" s="206"/>
      <c r="T255" s="206"/>
      <c r="U255" s="206"/>
      <c r="V255" s="206"/>
    </row>
    <row r="256" spans="15:22" ht="31.5" customHeight="1">
      <c r="O256" s="206"/>
      <c r="P256" s="206"/>
      <c r="Q256" s="204"/>
      <c r="R256" s="205"/>
      <c r="S256" s="206"/>
      <c r="T256" s="206"/>
      <c r="U256" s="206"/>
      <c r="V256" s="206"/>
    </row>
    <row r="257" spans="15:22" ht="31.5" customHeight="1">
      <c r="O257" s="206"/>
      <c r="P257" s="206"/>
      <c r="Q257" s="204"/>
      <c r="R257" s="205"/>
      <c r="S257" s="206"/>
      <c r="T257" s="206"/>
      <c r="U257" s="206"/>
      <c r="V257" s="206"/>
    </row>
    <row r="258" spans="15:22" ht="31.5" customHeight="1">
      <c r="O258" s="206"/>
      <c r="P258" s="206"/>
      <c r="Q258" s="204"/>
      <c r="R258" s="205"/>
      <c r="S258" s="206"/>
      <c r="T258" s="206"/>
      <c r="U258" s="206"/>
      <c r="V258" s="206"/>
    </row>
    <row r="259" spans="15:22" ht="31.5" customHeight="1">
      <c r="O259" s="206"/>
      <c r="P259" s="206"/>
      <c r="Q259" s="204"/>
      <c r="R259" s="205"/>
      <c r="S259" s="206"/>
      <c r="T259" s="206"/>
      <c r="U259" s="206"/>
      <c r="V259" s="206"/>
    </row>
    <row r="260" spans="15:22" ht="31.5" customHeight="1">
      <c r="O260" s="206"/>
      <c r="P260" s="206"/>
      <c r="Q260" s="204"/>
      <c r="R260" s="205"/>
      <c r="S260" s="206"/>
      <c r="T260" s="206"/>
      <c r="U260" s="206"/>
      <c r="V260" s="206"/>
    </row>
    <row r="261" spans="15:22" ht="31.5" customHeight="1">
      <c r="O261" s="206"/>
      <c r="P261" s="206"/>
      <c r="Q261" s="204"/>
      <c r="R261" s="205"/>
      <c r="S261" s="206"/>
      <c r="T261" s="206"/>
      <c r="U261" s="206"/>
      <c r="V261" s="206"/>
    </row>
    <row r="262" spans="15:22" ht="31.5" customHeight="1">
      <c r="O262" s="206"/>
      <c r="P262" s="206"/>
      <c r="Q262" s="204"/>
      <c r="R262" s="205"/>
      <c r="S262" s="206"/>
      <c r="T262" s="206"/>
      <c r="U262" s="206"/>
      <c r="V262" s="206"/>
    </row>
    <row r="263" spans="15:22" ht="31.5" customHeight="1">
      <c r="O263" s="206"/>
      <c r="P263" s="206"/>
      <c r="Q263" s="204"/>
      <c r="R263" s="205"/>
      <c r="S263" s="206"/>
      <c r="T263" s="206"/>
      <c r="U263" s="206"/>
      <c r="V263" s="206"/>
    </row>
    <row r="264" spans="15:22" ht="31.5" customHeight="1">
      <c r="O264" s="206"/>
      <c r="P264" s="206"/>
      <c r="Q264" s="204"/>
      <c r="R264" s="205"/>
      <c r="S264" s="206"/>
      <c r="T264" s="206"/>
      <c r="U264" s="206"/>
      <c r="V264" s="206"/>
    </row>
    <row r="265" spans="15:22" ht="31.5" customHeight="1">
      <c r="O265" s="206"/>
      <c r="P265" s="206"/>
      <c r="Q265" s="204"/>
      <c r="R265" s="205"/>
      <c r="S265" s="206"/>
      <c r="T265" s="206"/>
      <c r="U265" s="206"/>
      <c r="V265" s="206"/>
    </row>
    <row r="266" spans="15:22" ht="31.5" customHeight="1">
      <c r="O266" s="206"/>
      <c r="P266" s="206"/>
      <c r="Q266" s="204"/>
      <c r="R266" s="205"/>
      <c r="S266" s="206"/>
      <c r="T266" s="206"/>
      <c r="U266" s="206"/>
      <c r="V266" s="206"/>
    </row>
    <row r="267" spans="15:22" ht="31.5" customHeight="1">
      <c r="O267" s="206"/>
      <c r="P267" s="206"/>
      <c r="Q267" s="204"/>
      <c r="R267" s="205"/>
      <c r="S267" s="206"/>
      <c r="T267" s="206"/>
      <c r="U267" s="206"/>
      <c r="V267" s="206"/>
    </row>
    <row r="268" spans="15:22" ht="31.5" customHeight="1">
      <c r="O268" s="206"/>
      <c r="P268" s="206"/>
      <c r="Q268" s="204"/>
      <c r="R268" s="205"/>
      <c r="S268" s="206"/>
      <c r="T268" s="206"/>
      <c r="U268" s="206"/>
      <c r="V268" s="206"/>
    </row>
    <row r="269" spans="15:22" ht="31.5" customHeight="1">
      <c r="O269" s="206"/>
      <c r="P269" s="206"/>
      <c r="Q269" s="204"/>
      <c r="R269" s="205"/>
      <c r="S269" s="206"/>
      <c r="T269" s="206"/>
      <c r="U269" s="206"/>
      <c r="V269" s="206"/>
    </row>
    <row r="270" spans="15:22" ht="31.5" customHeight="1">
      <c r="O270" s="206"/>
      <c r="P270" s="206"/>
      <c r="Q270" s="204"/>
      <c r="R270" s="205"/>
      <c r="S270" s="206"/>
      <c r="T270" s="206"/>
      <c r="U270" s="206"/>
      <c r="V270" s="206"/>
    </row>
    <row r="271" spans="15:22" ht="31.5" customHeight="1">
      <c r="O271" s="206"/>
      <c r="P271" s="206"/>
      <c r="Q271" s="204"/>
      <c r="R271" s="205"/>
      <c r="S271" s="206"/>
      <c r="T271" s="206"/>
      <c r="U271" s="206"/>
      <c r="V271" s="206"/>
    </row>
    <row r="272" spans="15:22" ht="31.5" customHeight="1">
      <c r="O272" s="206"/>
      <c r="P272" s="206"/>
      <c r="Q272" s="204"/>
      <c r="R272" s="205"/>
      <c r="S272" s="206"/>
      <c r="T272" s="206"/>
      <c r="U272" s="206"/>
      <c r="V272" s="206"/>
    </row>
    <row r="273" spans="15:22" ht="31.5" customHeight="1">
      <c r="O273" s="206"/>
      <c r="P273" s="206"/>
      <c r="Q273" s="204"/>
      <c r="R273" s="205"/>
      <c r="S273" s="206"/>
      <c r="T273" s="206"/>
      <c r="U273" s="206"/>
      <c r="V273" s="206"/>
    </row>
    <row r="274" spans="15:22" ht="31.5" customHeight="1">
      <c r="O274" s="206"/>
      <c r="P274" s="206"/>
      <c r="Q274" s="204"/>
      <c r="R274" s="205"/>
      <c r="S274" s="206"/>
      <c r="T274" s="206"/>
      <c r="U274" s="206"/>
      <c r="V274" s="206"/>
    </row>
    <row r="275" spans="15:22" ht="31.5" customHeight="1">
      <c r="O275" s="206"/>
      <c r="P275" s="206"/>
      <c r="Q275" s="204"/>
      <c r="R275" s="205"/>
      <c r="S275" s="206"/>
      <c r="T275" s="206"/>
      <c r="U275" s="206"/>
      <c r="V275" s="206"/>
    </row>
    <row r="276" spans="15:22" ht="31.5" customHeight="1">
      <c r="O276" s="206"/>
      <c r="P276" s="206"/>
      <c r="Q276" s="204"/>
      <c r="R276" s="205"/>
      <c r="S276" s="206"/>
      <c r="T276" s="206"/>
      <c r="U276" s="206"/>
      <c r="V276" s="206"/>
    </row>
    <row r="277" spans="15:22" ht="31.5" customHeight="1">
      <c r="O277" s="206"/>
      <c r="P277" s="206"/>
      <c r="Q277" s="204"/>
      <c r="R277" s="205"/>
      <c r="S277" s="206"/>
      <c r="T277" s="206"/>
      <c r="U277" s="206"/>
      <c r="V277" s="206"/>
    </row>
    <row r="278" spans="15:22" ht="31.5" customHeight="1">
      <c r="O278" s="206"/>
      <c r="P278" s="206"/>
      <c r="Q278" s="204"/>
      <c r="R278" s="205"/>
      <c r="S278" s="206"/>
      <c r="T278" s="206"/>
      <c r="U278" s="206"/>
      <c r="V278" s="206"/>
    </row>
    <row r="279" spans="15:22" ht="31.5" customHeight="1">
      <c r="O279" s="206"/>
      <c r="P279" s="206"/>
      <c r="Q279" s="204"/>
      <c r="R279" s="205"/>
      <c r="S279" s="206"/>
      <c r="T279" s="206"/>
      <c r="U279" s="206"/>
      <c r="V279" s="206"/>
    </row>
    <row r="280" spans="15:22" ht="31.5" customHeight="1">
      <c r="O280" s="206"/>
      <c r="P280" s="206"/>
      <c r="Q280" s="204"/>
      <c r="R280" s="205"/>
      <c r="S280" s="206"/>
      <c r="T280" s="206"/>
      <c r="U280" s="206"/>
      <c r="V280" s="206"/>
    </row>
    <row r="281" spans="15:22" ht="31.5" customHeight="1">
      <c r="O281" s="206"/>
      <c r="P281" s="206"/>
      <c r="Q281" s="204"/>
      <c r="R281" s="205"/>
      <c r="S281" s="206"/>
      <c r="T281" s="206"/>
      <c r="U281" s="206"/>
      <c r="V281" s="206"/>
    </row>
    <row r="282" spans="15:22" ht="31.5" customHeight="1">
      <c r="O282" s="206"/>
      <c r="P282" s="206"/>
      <c r="Q282" s="204"/>
      <c r="R282" s="205"/>
      <c r="S282" s="206"/>
      <c r="T282" s="206"/>
      <c r="U282" s="206"/>
      <c r="V282" s="206"/>
    </row>
    <row r="283" spans="15:22" ht="31.5" customHeight="1">
      <c r="O283" s="206"/>
      <c r="P283" s="206"/>
      <c r="Q283" s="204"/>
      <c r="R283" s="205"/>
      <c r="S283" s="206"/>
      <c r="T283" s="206"/>
      <c r="U283" s="206"/>
      <c r="V283" s="206"/>
    </row>
    <row r="284" spans="15:22" ht="31.5" customHeight="1">
      <c r="O284" s="206"/>
      <c r="P284" s="206"/>
      <c r="Q284" s="204"/>
      <c r="R284" s="205"/>
      <c r="S284" s="206"/>
      <c r="T284" s="206"/>
      <c r="U284" s="206"/>
      <c r="V284" s="206"/>
    </row>
    <row r="285" spans="15:22" ht="31.5" customHeight="1">
      <c r="O285" s="206"/>
      <c r="P285" s="206"/>
      <c r="Q285" s="204"/>
      <c r="R285" s="205"/>
      <c r="S285" s="206"/>
      <c r="T285" s="206"/>
      <c r="U285" s="206"/>
      <c r="V285" s="206"/>
    </row>
    <row r="286" spans="15:22" ht="31.5" customHeight="1">
      <c r="O286" s="206"/>
      <c r="P286" s="206"/>
      <c r="Q286" s="204"/>
      <c r="R286" s="205"/>
      <c r="S286" s="206"/>
      <c r="T286" s="206"/>
      <c r="U286" s="206"/>
      <c r="V286" s="206"/>
    </row>
    <row r="287" spans="15:22" ht="31.5" customHeight="1">
      <c r="O287" s="206"/>
      <c r="P287" s="206"/>
      <c r="Q287" s="204"/>
      <c r="R287" s="205"/>
      <c r="S287" s="206"/>
      <c r="T287" s="206"/>
      <c r="U287" s="206"/>
      <c r="V287" s="206"/>
    </row>
    <row r="288" spans="15:22" ht="31.5" customHeight="1">
      <c r="O288" s="206"/>
      <c r="P288" s="206"/>
      <c r="Q288" s="204"/>
      <c r="R288" s="205"/>
      <c r="S288" s="206"/>
      <c r="T288" s="206"/>
      <c r="U288" s="206"/>
      <c r="V288" s="206"/>
    </row>
    <row r="289" spans="15:22" ht="31.5" customHeight="1">
      <c r="O289" s="206"/>
      <c r="P289" s="206"/>
      <c r="Q289" s="204"/>
      <c r="R289" s="205"/>
      <c r="S289" s="206"/>
      <c r="T289" s="206"/>
      <c r="U289" s="206"/>
      <c r="V289" s="206"/>
    </row>
    <row r="290" spans="15:22" ht="31.5" customHeight="1">
      <c r="O290" s="206"/>
      <c r="P290" s="206"/>
      <c r="Q290" s="204"/>
      <c r="R290" s="205"/>
      <c r="S290" s="206"/>
      <c r="T290" s="206"/>
      <c r="U290" s="206"/>
      <c r="V290" s="206"/>
    </row>
    <row r="291" spans="15:22" ht="31.5" customHeight="1">
      <c r="O291" s="206"/>
      <c r="P291" s="206"/>
      <c r="Q291" s="204"/>
      <c r="R291" s="205"/>
      <c r="S291" s="206"/>
      <c r="T291" s="206"/>
      <c r="U291" s="206"/>
      <c r="V291" s="206"/>
    </row>
    <row r="292" spans="15:22" ht="31.5" customHeight="1">
      <c r="O292" s="206"/>
      <c r="P292" s="206"/>
      <c r="Q292" s="204"/>
      <c r="R292" s="205"/>
      <c r="S292" s="206"/>
      <c r="T292" s="206"/>
      <c r="U292" s="206"/>
      <c r="V292" s="206"/>
    </row>
    <row r="293" spans="15:22" ht="31.5" customHeight="1">
      <c r="O293" s="206"/>
      <c r="P293" s="206"/>
      <c r="Q293" s="204"/>
      <c r="R293" s="205"/>
      <c r="S293" s="206"/>
      <c r="T293" s="206"/>
      <c r="U293" s="206"/>
      <c r="V293" s="206"/>
    </row>
    <row r="294" spans="15:22" ht="31.5" customHeight="1">
      <c r="O294" s="206"/>
      <c r="P294" s="206"/>
      <c r="Q294" s="204"/>
      <c r="R294" s="205"/>
      <c r="S294" s="206"/>
      <c r="T294" s="206"/>
      <c r="U294" s="206"/>
      <c r="V294" s="206"/>
    </row>
    <row r="295" spans="15:22" ht="31.5" customHeight="1">
      <c r="O295" s="206"/>
      <c r="P295" s="206"/>
      <c r="Q295" s="204"/>
      <c r="R295" s="205"/>
      <c r="S295" s="206"/>
      <c r="T295" s="206"/>
      <c r="U295" s="206"/>
      <c r="V295" s="206"/>
    </row>
    <row r="296" spans="15:22" ht="31.5" customHeight="1">
      <c r="O296" s="206"/>
      <c r="P296" s="206"/>
      <c r="Q296" s="204"/>
      <c r="R296" s="205"/>
      <c r="S296" s="206"/>
      <c r="T296" s="206"/>
      <c r="U296" s="206"/>
      <c r="V296" s="206"/>
    </row>
    <row r="297" spans="15:22" ht="31.5" customHeight="1">
      <c r="O297" s="206"/>
      <c r="P297" s="206"/>
      <c r="Q297" s="204"/>
      <c r="R297" s="205"/>
      <c r="S297" s="206"/>
      <c r="T297" s="206"/>
      <c r="U297" s="206"/>
      <c r="V297" s="206"/>
    </row>
    <row r="298" spans="15:22" ht="31.5" customHeight="1">
      <c r="O298" s="206"/>
      <c r="P298" s="206"/>
      <c r="Q298" s="204"/>
      <c r="R298" s="205"/>
      <c r="S298" s="206"/>
      <c r="T298" s="206"/>
      <c r="U298" s="206"/>
      <c r="V298" s="206"/>
    </row>
    <row r="299" spans="15:22" ht="31.5" customHeight="1">
      <c r="O299" s="206"/>
      <c r="P299" s="206"/>
      <c r="Q299" s="204"/>
      <c r="R299" s="205"/>
      <c r="S299" s="206"/>
      <c r="T299" s="206"/>
      <c r="U299" s="206"/>
      <c r="V299" s="206"/>
    </row>
    <row r="300" spans="15:22" ht="31.5" customHeight="1">
      <c r="O300" s="206"/>
      <c r="P300" s="206"/>
      <c r="Q300" s="204"/>
      <c r="R300" s="205"/>
      <c r="S300" s="206"/>
      <c r="T300" s="206"/>
      <c r="U300" s="206"/>
      <c r="V300" s="206"/>
    </row>
    <row r="301" spans="15:22" ht="31.5" customHeight="1">
      <c r="O301" s="206"/>
      <c r="P301" s="206"/>
      <c r="Q301" s="204"/>
      <c r="R301" s="205"/>
      <c r="S301" s="206"/>
      <c r="T301" s="206"/>
      <c r="U301" s="206"/>
      <c r="V301" s="206"/>
    </row>
    <row r="302" spans="15:22" ht="31.5" customHeight="1">
      <c r="O302" s="206"/>
      <c r="P302" s="206"/>
      <c r="Q302" s="204"/>
      <c r="R302" s="205"/>
      <c r="S302" s="206"/>
      <c r="T302" s="206"/>
      <c r="U302" s="206"/>
      <c r="V302" s="206"/>
    </row>
    <row r="303" spans="15:22" ht="31.5" customHeight="1">
      <c r="O303" s="206"/>
      <c r="P303" s="206"/>
      <c r="Q303" s="204"/>
      <c r="R303" s="205"/>
      <c r="S303" s="206"/>
      <c r="T303" s="206"/>
      <c r="U303" s="206"/>
      <c r="V303" s="206"/>
    </row>
    <row r="304" spans="15:22" ht="31.5" customHeight="1">
      <c r="O304" s="206"/>
      <c r="P304" s="206"/>
      <c r="Q304" s="204"/>
      <c r="R304" s="205"/>
      <c r="S304" s="206"/>
      <c r="T304" s="206"/>
      <c r="U304" s="206"/>
      <c r="V304" s="206"/>
    </row>
    <row r="305" spans="15:22" ht="31.5" customHeight="1">
      <c r="O305" s="206"/>
      <c r="P305" s="206"/>
      <c r="Q305" s="204"/>
      <c r="R305" s="205"/>
      <c r="S305" s="206"/>
      <c r="T305" s="206"/>
      <c r="U305" s="206"/>
      <c r="V305" s="206"/>
    </row>
    <row r="306" spans="15:22" ht="31.5" customHeight="1">
      <c r="O306" s="206"/>
      <c r="P306" s="206"/>
      <c r="Q306" s="204"/>
      <c r="R306" s="205"/>
      <c r="S306" s="206"/>
      <c r="T306" s="206"/>
      <c r="U306" s="206"/>
      <c r="V306" s="206"/>
    </row>
    <row r="307" spans="15:22" ht="31.5" customHeight="1">
      <c r="O307" s="206"/>
      <c r="P307" s="206"/>
      <c r="Q307" s="204"/>
      <c r="R307" s="205"/>
      <c r="S307" s="206"/>
      <c r="T307" s="206"/>
      <c r="U307" s="206"/>
      <c r="V307" s="206"/>
    </row>
    <row r="308" spans="15:22" ht="31.5" customHeight="1">
      <c r="O308" s="206"/>
      <c r="P308" s="206"/>
      <c r="Q308" s="204"/>
      <c r="R308" s="205"/>
      <c r="S308" s="206"/>
      <c r="T308" s="206"/>
      <c r="U308" s="206"/>
      <c r="V308" s="206"/>
    </row>
    <row r="309" spans="15:22" ht="31.5" customHeight="1">
      <c r="O309" s="206"/>
      <c r="P309" s="206"/>
      <c r="Q309" s="204"/>
      <c r="R309" s="205"/>
      <c r="S309" s="206"/>
      <c r="T309" s="206"/>
      <c r="U309" s="206"/>
      <c r="V309" s="206"/>
    </row>
    <row r="310" spans="15:22" ht="31.5" customHeight="1">
      <c r="O310" s="206"/>
      <c r="P310" s="206"/>
      <c r="Q310" s="204"/>
      <c r="R310" s="205"/>
      <c r="S310" s="206"/>
      <c r="T310" s="206"/>
      <c r="U310" s="206"/>
      <c r="V310" s="206"/>
    </row>
    <row r="311" spans="15:22" ht="31.5" customHeight="1">
      <c r="O311" s="206"/>
      <c r="P311" s="206"/>
      <c r="Q311" s="204"/>
      <c r="R311" s="205"/>
      <c r="S311" s="206"/>
      <c r="T311" s="206"/>
      <c r="U311" s="206"/>
      <c r="V311" s="206"/>
    </row>
    <row r="312" spans="15:22" ht="31.5" customHeight="1">
      <c r="O312" s="206"/>
      <c r="P312" s="206"/>
      <c r="Q312" s="204"/>
      <c r="R312" s="205"/>
      <c r="S312" s="206"/>
      <c r="T312" s="206"/>
      <c r="U312" s="206"/>
      <c r="V312" s="206"/>
    </row>
    <row r="313" spans="15:22" ht="31.5" customHeight="1">
      <c r="O313" s="206"/>
      <c r="P313" s="206"/>
      <c r="Q313" s="204"/>
      <c r="R313" s="205"/>
      <c r="S313" s="206"/>
      <c r="T313" s="206"/>
      <c r="U313" s="206"/>
      <c r="V313" s="206"/>
    </row>
    <row r="314" spans="15:22" ht="31.5" customHeight="1">
      <c r="O314" s="206"/>
      <c r="P314" s="206"/>
      <c r="Q314" s="204"/>
      <c r="R314" s="205"/>
      <c r="S314" s="206"/>
      <c r="T314" s="206"/>
      <c r="U314" s="206"/>
      <c r="V314" s="206"/>
    </row>
    <row r="315" spans="15:22" ht="31.5" customHeight="1">
      <c r="O315" s="206"/>
      <c r="P315" s="206"/>
      <c r="Q315" s="204"/>
      <c r="R315" s="205"/>
      <c r="S315" s="206"/>
      <c r="T315" s="206"/>
      <c r="U315" s="206"/>
      <c r="V315" s="206"/>
    </row>
    <row r="316" spans="15:22" ht="31.5" customHeight="1">
      <c r="O316" s="206"/>
      <c r="P316" s="206"/>
      <c r="Q316" s="204"/>
      <c r="R316" s="205"/>
      <c r="S316" s="206"/>
      <c r="T316" s="206"/>
      <c r="U316" s="206"/>
      <c r="V316" s="206"/>
    </row>
    <row r="317" spans="15:22" ht="31.5" customHeight="1">
      <c r="O317" s="206"/>
      <c r="P317" s="206"/>
      <c r="Q317" s="204"/>
      <c r="R317" s="205"/>
      <c r="S317" s="206"/>
      <c r="T317" s="206"/>
      <c r="U317" s="206"/>
      <c r="V317" s="206"/>
    </row>
    <row r="318" spans="15:22" ht="31.5" customHeight="1">
      <c r="O318" s="206"/>
      <c r="P318" s="206"/>
      <c r="Q318" s="204"/>
      <c r="R318" s="205"/>
      <c r="S318" s="206"/>
      <c r="T318" s="206"/>
      <c r="U318" s="206"/>
      <c r="V318" s="206"/>
    </row>
    <row r="319" spans="15:22" ht="31.5" customHeight="1">
      <c r="O319" s="206"/>
      <c r="P319" s="206"/>
      <c r="Q319" s="204"/>
      <c r="R319" s="205"/>
      <c r="S319" s="206"/>
      <c r="T319" s="206"/>
      <c r="U319" s="206"/>
      <c r="V319" s="206"/>
    </row>
    <row r="320" spans="15:22" ht="31.5" customHeight="1">
      <c r="O320" s="206"/>
      <c r="P320" s="206"/>
      <c r="Q320" s="204"/>
      <c r="R320" s="205"/>
      <c r="S320" s="206"/>
      <c r="T320" s="206"/>
      <c r="U320" s="206"/>
      <c r="V320" s="206"/>
    </row>
    <row r="321" spans="15:22" ht="31.5" customHeight="1">
      <c r="O321" s="206"/>
      <c r="P321" s="206"/>
      <c r="Q321" s="204"/>
      <c r="R321" s="205"/>
      <c r="S321" s="206"/>
      <c r="T321" s="206"/>
      <c r="U321" s="206"/>
      <c r="V321" s="206"/>
    </row>
    <row r="322" spans="15:22" ht="31.5" customHeight="1">
      <c r="O322" s="206"/>
      <c r="P322" s="206"/>
      <c r="Q322" s="204"/>
      <c r="R322" s="205"/>
      <c r="S322" s="206"/>
      <c r="T322" s="206"/>
      <c r="U322" s="206"/>
      <c r="V322" s="206"/>
    </row>
    <row r="323" spans="15:22" ht="31.5" customHeight="1">
      <c r="O323" s="206"/>
      <c r="P323" s="206"/>
      <c r="Q323" s="204"/>
      <c r="R323" s="205"/>
      <c r="S323" s="206"/>
      <c r="T323" s="206"/>
      <c r="U323" s="206"/>
      <c r="V323" s="206"/>
    </row>
    <row r="324" spans="15:22" ht="31.5" customHeight="1">
      <c r="O324" s="206"/>
      <c r="P324" s="206"/>
      <c r="Q324" s="204"/>
      <c r="R324" s="205"/>
      <c r="S324" s="206"/>
      <c r="T324" s="206"/>
      <c r="U324" s="206"/>
      <c r="V324" s="206"/>
    </row>
    <row r="325" spans="15:22" ht="31.5" customHeight="1">
      <c r="O325" s="206"/>
      <c r="P325" s="206"/>
      <c r="Q325" s="204"/>
      <c r="R325" s="205"/>
      <c r="S325" s="206"/>
      <c r="T325" s="206"/>
      <c r="U325" s="206"/>
      <c r="V325" s="206"/>
    </row>
    <row r="326" spans="15:22" ht="31.5" customHeight="1">
      <c r="O326" s="206"/>
      <c r="P326" s="206"/>
      <c r="Q326" s="204"/>
      <c r="R326" s="205"/>
      <c r="S326" s="206"/>
      <c r="T326" s="206"/>
      <c r="U326" s="206"/>
      <c r="V326" s="206"/>
    </row>
    <row r="327" spans="15:22" ht="31.5" customHeight="1">
      <c r="O327" s="206"/>
      <c r="P327" s="206"/>
      <c r="Q327" s="204"/>
      <c r="R327" s="205"/>
      <c r="S327" s="206"/>
      <c r="T327" s="206"/>
      <c r="U327" s="206"/>
      <c r="V327" s="206"/>
    </row>
    <row r="328" spans="15:22" ht="31.5" customHeight="1">
      <c r="O328" s="206"/>
      <c r="P328" s="206"/>
      <c r="Q328" s="204"/>
      <c r="R328" s="205"/>
      <c r="S328" s="206"/>
      <c r="T328" s="206"/>
      <c r="U328" s="206"/>
      <c r="V328" s="206"/>
    </row>
    <row r="329" spans="15:22" ht="31.5" customHeight="1">
      <c r="O329" s="206"/>
      <c r="P329" s="206"/>
      <c r="Q329" s="204"/>
      <c r="R329" s="205"/>
      <c r="S329" s="206"/>
      <c r="T329" s="206"/>
      <c r="U329" s="206"/>
      <c r="V329" s="206"/>
    </row>
    <row r="330" spans="15:22" ht="31.5" customHeight="1">
      <c r="O330" s="206"/>
      <c r="P330" s="206"/>
      <c r="Q330" s="204"/>
      <c r="R330" s="205"/>
      <c r="S330" s="206"/>
      <c r="T330" s="206"/>
      <c r="U330" s="206"/>
      <c r="V330" s="206"/>
    </row>
    <row r="331" spans="15:22" ht="31.5" customHeight="1">
      <c r="O331" s="206"/>
      <c r="P331" s="206"/>
      <c r="Q331" s="204"/>
      <c r="R331" s="205"/>
      <c r="S331" s="206"/>
      <c r="T331" s="206"/>
      <c r="U331" s="206"/>
      <c r="V331" s="206"/>
    </row>
    <row r="332" spans="15:22" ht="31.5" customHeight="1">
      <c r="O332" s="206"/>
      <c r="P332" s="206"/>
      <c r="Q332" s="204"/>
      <c r="R332" s="205"/>
      <c r="S332" s="206"/>
      <c r="T332" s="206"/>
      <c r="U332" s="206"/>
      <c r="V332" s="206"/>
    </row>
    <row r="333" spans="15:22" ht="31.5" customHeight="1">
      <c r="O333" s="206"/>
      <c r="P333" s="206"/>
      <c r="Q333" s="204"/>
      <c r="R333" s="205"/>
      <c r="S333" s="206"/>
      <c r="T333" s="206"/>
      <c r="U333" s="206"/>
      <c r="V333" s="206"/>
    </row>
    <row r="334" spans="15:22" ht="31.5" customHeight="1">
      <c r="O334" s="206"/>
      <c r="P334" s="206"/>
      <c r="Q334" s="204"/>
      <c r="R334" s="205"/>
      <c r="S334" s="206"/>
      <c r="T334" s="206"/>
      <c r="U334" s="206"/>
      <c r="V334" s="206"/>
    </row>
    <row r="335" spans="15:22" ht="31.5" customHeight="1">
      <c r="O335" s="206"/>
      <c r="P335" s="206"/>
      <c r="Q335" s="204"/>
      <c r="R335" s="205"/>
      <c r="S335" s="206"/>
      <c r="T335" s="206"/>
      <c r="U335" s="206"/>
      <c r="V335" s="206"/>
    </row>
    <row r="336" spans="15:22" ht="31.5" customHeight="1">
      <c r="O336" s="206"/>
      <c r="P336" s="206"/>
      <c r="Q336" s="204"/>
      <c r="R336" s="205"/>
      <c r="S336" s="206"/>
      <c r="T336" s="206"/>
      <c r="U336" s="206"/>
      <c r="V336" s="206"/>
    </row>
    <row r="337" spans="15:22" ht="31.5" customHeight="1">
      <c r="O337" s="206"/>
      <c r="P337" s="206"/>
      <c r="Q337" s="204"/>
      <c r="R337" s="205"/>
      <c r="S337" s="206"/>
      <c r="T337" s="206"/>
      <c r="U337" s="206"/>
      <c r="V337" s="206"/>
    </row>
    <row r="338" spans="15:22" ht="31.5" customHeight="1">
      <c r="O338" s="206"/>
      <c r="P338" s="206"/>
      <c r="Q338" s="204"/>
      <c r="R338" s="205"/>
      <c r="S338" s="206"/>
      <c r="T338" s="206"/>
      <c r="U338" s="206"/>
      <c r="V338" s="206"/>
    </row>
    <row r="339" spans="15:22" ht="31.5" customHeight="1">
      <c r="O339" s="206"/>
      <c r="P339" s="206"/>
      <c r="Q339" s="204"/>
      <c r="R339" s="205"/>
      <c r="S339" s="206"/>
      <c r="T339" s="206"/>
      <c r="U339" s="206"/>
      <c r="V339" s="206"/>
    </row>
    <row r="340" spans="15:22" ht="31.5" customHeight="1">
      <c r="O340" s="206"/>
      <c r="P340" s="206"/>
      <c r="Q340" s="204"/>
      <c r="R340" s="205"/>
      <c r="S340" s="206"/>
      <c r="T340" s="206"/>
      <c r="U340" s="206"/>
      <c r="V340" s="206"/>
    </row>
    <row r="341" spans="15:22" ht="31.5" customHeight="1">
      <c r="O341" s="206"/>
      <c r="P341" s="206"/>
      <c r="Q341" s="204"/>
      <c r="R341" s="205"/>
      <c r="S341" s="206"/>
      <c r="T341" s="206"/>
      <c r="U341" s="206"/>
      <c r="V341" s="206"/>
    </row>
    <row r="342" spans="15:22" ht="31.5" customHeight="1">
      <c r="O342" s="206"/>
      <c r="P342" s="206"/>
      <c r="Q342" s="204"/>
      <c r="R342" s="205"/>
      <c r="S342" s="206"/>
      <c r="T342" s="206"/>
      <c r="U342" s="206"/>
      <c r="V342" s="206"/>
    </row>
    <row r="343" spans="15:22" ht="31.5" customHeight="1">
      <c r="O343" s="206"/>
      <c r="P343" s="206"/>
      <c r="Q343" s="204"/>
      <c r="R343" s="205"/>
      <c r="S343" s="206"/>
      <c r="T343" s="206"/>
      <c r="U343" s="206"/>
      <c r="V343" s="206"/>
    </row>
    <row r="344" spans="15:22" ht="31.5" customHeight="1">
      <c r="O344" s="206"/>
      <c r="P344" s="206"/>
      <c r="Q344" s="204"/>
      <c r="R344" s="205"/>
      <c r="S344" s="206"/>
      <c r="T344" s="206"/>
      <c r="U344" s="206"/>
      <c r="V344" s="206"/>
    </row>
    <row r="345" spans="15:22" ht="31.5" customHeight="1">
      <c r="O345" s="206"/>
      <c r="P345" s="206"/>
      <c r="Q345" s="204"/>
      <c r="R345" s="205"/>
      <c r="S345" s="206"/>
      <c r="T345" s="206"/>
      <c r="U345" s="206"/>
      <c r="V345" s="206"/>
    </row>
    <row r="346" spans="15:22" ht="31.5" customHeight="1">
      <c r="O346" s="206"/>
      <c r="P346" s="206"/>
      <c r="Q346" s="204"/>
      <c r="R346" s="205"/>
      <c r="S346" s="206"/>
      <c r="T346" s="206"/>
      <c r="U346" s="206"/>
      <c r="V346" s="206"/>
    </row>
    <row r="347" spans="15:22" ht="31.5" customHeight="1">
      <c r="O347" s="206"/>
      <c r="P347" s="206"/>
      <c r="Q347" s="204"/>
      <c r="R347" s="205"/>
      <c r="S347" s="206"/>
      <c r="T347" s="206"/>
      <c r="U347" s="206"/>
      <c r="V347" s="206"/>
    </row>
    <row r="348" spans="15:22" ht="31.5" customHeight="1">
      <c r="O348" s="206"/>
      <c r="P348" s="206"/>
      <c r="Q348" s="204"/>
      <c r="R348" s="205"/>
      <c r="S348" s="206"/>
      <c r="T348" s="206"/>
      <c r="U348" s="206"/>
      <c r="V348" s="206"/>
    </row>
    <row r="349" spans="15:22" ht="31.5" customHeight="1">
      <c r="O349" s="206"/>
      <c r="P349" s="206"/>
      <c r="Q349" s="204"/>
      <c r="R349" s="205"/>
      <c r="S349" s="206"/>
      <c r="T349" s="206"/>
      <c r="U349" s="206"/>
      <c r="V349" s="206"/>
    </row>
    <row r="350" spans="15:22" ht="31.5" customHeight="1">
      <c r="O350" s="206"/>
      <c r="P350" s="206"/>
      <c r="Q350" s="204"/>
      <c r="R350" s="205"/>
      <c r="S350" s="206"/>
      <c r="T350" s="206"/>
      <c r="U350" s="206"/>
      <c r="V350" s="206"/>
    </row>
    <row r="351" spans="15:22" ht="31.5" customHeight="1">
      <c r="O351" s="206"/>
      <c r="P351" s="206"/>
      <c r="Q351" s="204"/>
      <c r="R351" s="205"/>
      <c r="S351" s="206"/>
      <c r="T351" s="206"/>
      <c r="U351" s="206"/>
      <c r="V351" s="206"/>
    </row>
    <row r="352" spans="15:22" ht="31.5" customHeight="1">
      <c r="O352" s="206"/>
      <c r="P352" s="206"/>
      <c r="Q352" s="204"/>
      <c r="R352" s="205"/>
      <c r="S352" s="206"/>
      <c r="T352" s="206"/>
      <c r="U352" s="206"/>
      <c r="V352" s="206"/>
    </row>
    <row r="353" spans="15:22" ht="31.5" customHeight="1">
      <c r="O353" s="206"/>
      <c r="P353" s="206"/>
      <c r="Q353" s="204"/>
      <c r="R353" s="205"/>
      <c r="S353" s="206"/>
      <c r="T353" s="206"/>
      <c r="U353" s="206"/>
      <c r="V353" s="206"/>
    </row>
    <row r="354" spans="15:22" ht="31.5" customHeight="1">
      <c r="O354" s="206"/>
      <c r="P354" s="206"/>
      <c r="Q354" s="204"/>
      <c r="R354" s="205"/>
      <c r="S354" s="206"/>
      <c r="T354" s="206"/>
      <c r="U354" s="206"/>
      <c r="V354" s="206"/>
    </row>
    <row r="355" spans="15:22" ht="31.5" customHeight="1">
      <c r="O355" s="206"/>
      <c r="P355" s="206"/>
      <c r="Q355" s="204"/>
      <c r="R355" s="205"/>
      <c r="S355" s="206"/>
      <c r="T355" s="206"/>
      <c r="U355" s="206"/>
      <c r="V355" s="206"/>
    </row>
    <row r="356" spans="15:22" ht="31.5" customHeight="1">
      <c r="O356" s="206"/>
      <c r="P356" s="206"/>
      <c r="Q356" s="204"/>
      <c r="R356" s="205"/>
      <c r="S356" s="206"/>
      <c r="T356" s="206"/>
      <c r="U356" s="206"/>
      <c r="V356" s="206"/>
    </row>
    <row r="357" spans="15:22" ht="31.5" customHeight="1">
      <c r="O357" s="206"/>
      <c r="P357" s="206"/>
      <c r="Q357" s="204"/>
      <c r="R357" s="205"/>
      <c r="S357" s="206"/>
      <c r="T357" s="206"/>
      <c r="U357" s="206"/>
      <c r="V357" s="206"/>
    </row>
    <row r="358" spans="15:22" ht="31.5" customHeight="1">
      <c r="O358" s="206"/>
      <c r="P358" s="206"/>
      <c r="Q358" s="204"/>
      <c r="R358" s="205"/>
      <c r="S358" s="206"/>
      <c r="T358" s="206"/>
      <c r="U358" s="206"/>
      <c r="V358" s="206"/>
    </row>
    <row r="359" spans="15:22" ht="31.5" customHeight="1">
      <c r="O359" s="206"/>
      <c r="P359" s="206"/>
      <c r="Q359" s="204"/>
      <c r="R359" s="205"/>
      <c r="S359" s="206"/>
      <c r="T359" s="206"/>
      <c r="U359" s="206"/>
      <c r="V359" s="206"/>
    </row>
    <row r="360" spans="15:22" ht="31.5" customHeight="1">
      <c r="O360" s="206"/>
      <c r="P360" s="206"/>
      <c r="Q360" s="204"/>
      <c r="R360" s="205"/>
      <c r="S360" s="206"/>
      <c r="T360" s="206"/>
      <c r="U360" s="206"/>
      <c r="V360" s="206"/>
    </row>
    <row r="361" spans="15:22" ht="31.5" customHeight="1">
      <c r="O361" s="206"/>
      <c r="P361" s="206"/>
      <c r="Q361" s="204"/>
      <c r="R361" s="205"/>
      <c r="S361" s="206"/>
      <c r="T361" s="206"/>
      <c r="U361" s="206"/>
      <c r="V361" s="206"/>
    </row>
    <row r="362" spans="15:22" ht="31.5" customHeight="1">
      <c r="O362" s="206"/>
      <c r="P362" s="206"/>
      <c r="Q362" s="204"/>
      <c r="R362" s="205"/>
      <c r="S362" s="206"/>
      <c r="T362" s="206"/>
      <c r="U362" s="206"/>
      <c r="V362" s="206"/>
    </row>
    <row r="363" spans="15:22" ht="31.5" customHeight="1">
      <c r="O363" s="206"/>
      <c r="P363" s="206"/>
      <c r="Q363" s="204"/>
      <c r="R363" s="205"/>
      <c r="S363" s="206"/>
      <c r="T363" s="206"/>
      <c r="U363" s="206"/>
      <c r="V363" s="206"/>
    </row>
    <row r="364" spans="15:22" ht="31.5" customHeight="1">
      <c r="O364" s="206"/>
      <c r="P364" s="206"/>
      <c r="Q364" s="204"/>
      <c r="R364" s="205"/>
      <c r="S364" s="206"/>
      <c r="T364" s="206"/>
      <c r="U364" s="206"/>
      <c r="V364" s="206"/>
    </row>
    <row r="365" spans="15:22" ht="31.5" customHeight="1">
      <c r="O365" s="206"/>
      <c r="P365" s="206"/>
      <c r="Q365" s="204"/>
      <c r="R365" s="205"/>
      <c r="S365" s="206"/>
      <c r="T365" s="206"/>
      <c r="U365" s="206"/>
      <c r="V365" s="206"/>
    </row>
    <row r="366" spans="15:22" ht="31.5" customHeight="1">
      <c r="O366" s="206"/>
      <c r="P366" s="206"/>
      <c r="Q366" s="204"/>
      <c r="R366" s="205"/>
      <c r="S366" s="206"/>
      <c r="T366" s="206"/>
      <c r="U366" s="206"/>
      <c r="V366" s="206"/>
    </row>
    <row r="367" spans="15:22" ht="31.5" customHeight="1">
      <c r="O367" s="206"/>
      <c r="P367" s="206"/>
      <c r="Q367" s="204"/>
      <c r="R367" s="205"/>
      <c r="S367" s="206"/>
      <c r="T367" s="206"/>
      <c r="U367" s="206"/>
      <c r="V367" s="206"/>
    </row>
    <row r="368" spans="15:22" ht="31.5" customHeight="1">
      <c r="O368" s="206"/>
      <c r="P368" s="206"/>
      <c r="Q368" s="204"/>
      <c r="R368" s="205"/>
      <c r="S368" s="206"/>
      <c r="T368" s="206"/>
      <c r="U368" s="206"/>
      <c r="V368" s="206"/>
    </row>
    <row r="369" spans="15:22" ht="31.5" customHeight="1">
      <c r="O369" s="206"/>
      <c r="P369" s="206"/>
      <c r="Q369" s="204"/>
      <c r="R369" s="205"/>
      <c r="S369" s="206"/>
      <c r="T369" s="206"/>
      <c r="U369" s="206"/>
      <c r="V369" s="206"/>
    </row>
    <row r="370" spans="15:22" ht="31.5" customHeight="1">
      <c r="O370" s="206"/>
      <c r="P370" s="206"/>
      <c r="Q370" s="204"/>
      <c r="R370" s="205"/>
      <c r="S370" s="206"/>
      <c r="T370" s="206"/>
      <c r="U370" s="206"/>
      <c r="V370" s="206"/>
    </row>
    <row r="371" spans="15:22" ht="31.5" customHeight="1">
      <c r="O371" s="206"/>
      <c r="P371" s="206"/>
      <c r="Q371" s="204"/>
      <c r="R371" s="205"/>
      <c r="S371" s="206"/>
      <c r="T371" s="206"/>
      <c r="U371" s="206"/>
      <c r="V371" s="206"/>
    </row>
    <row r="372" spans="15:22" ht="31.5" customHeight="1">
      <c r="O372" s="206"/>
      <c r="P372" s="206"/>
      <c r="Q372" s="204"/>
      <c r="R372" s="205"/>
      <c r="S372" s="206"/>
      <c r="T372" s="206"/>
      <c r="U372" s="206"/>
      <c r="V372" s="206"/>
    </row>
    <row r="373" spans="15:22" ht="31.5" customHeight="1">
      <c r="O373" s="206"/>
      <c r="P373" s="206"/>
      <c r="Q373" s="204"/>
      <c r="R373" s="205"/>
      <c r="S373" s="206"/>
      <c r="T373" s="206"/>
      <c r="U373" s="206"/>
      <c r="V373" s="206"/>
    </row>
    <row r="374" spans="15:22" ht="31.5" customHeight="1">
      <c r="O374" s="206"/>
      <c r="P374" s="206"/>
      <c r="Q374" s="204"/>
      <c r="R374" s="205"/>
      <c r="S374" s="206"/>
      <c r="T374" s="206"/>
      <c r="U374" s="206"/>
      <c r="V374" s="206"/>
    </row>
    <row r="375" spans="15:22" ht="31.5" customHeight="1">
      <c r="O375" s="206"/>
      <c r="P375" s="206"/>
      <c r="Q375" s="204"/>
      <c r="R375" s="205"/>
      <c r="S375" s="206"/>
      <c r="T375" s="206"/>
      <c r="U375" s="206"/>
      <c r="V375" s="206"/>
    </row>
    <row r="376" spans="15:22" ht="31.5" customHeight="1">
      <c r="O376" s="206"/>
      <c r="P376" s="206"/>
      <c r="Q376" s="204"/>
      <c r="R376" s="205"/>
      <c r="S376" s="206"/>
      <c r="T376" s="206"/>
      <c r="U376" s="206"/>
      <c r="V376" s="206"/>
    </row>
    <row r="377" spans="15:22" ht="31.5" customHeight="1">
      <c r="O377" s="206"/>
      <c r="P377" s="206"/>
      <c r="Q377" s="204"/>
      <c r="R377" s="205"/>
      <c r="S377" s="206"/>
      <c r="T377" s="206"/>
      <c r="U377" s="206"/>
      <c r="V377" s="206"/>
    </row>
    <row r="378" spans="15:22" ht="31.5" customHeight="1">
      <c r="O378" s="206"/>
      <c r="P378" s="206"/>
      <c r="Q378" s="204"/>
      <c r="R378" s="205"/>
      <c r="S378" s="206"/>
      <c r="T378" s="206"/>
      <c r="U378" s="206"/>
      <c r="V378" s="206"/>
    </row>
    <row r="379" spans="15:22" ht="31.5" customHeight="1">
      <c r="O379" s="206"/>
      <c r="P379" s="206"/>
      <c r="Q379" s="204"/>
      <c r="R379" s="205"/>
      <c r="S379" s="206"/>
      <c r="T379" s="206"/>
      <c r="U379" s="206"/>
      <c r="V379" s="206"/>
    </row>
    <row r="380" spans="15:22" ht="31.5" customHeight="1">
      <c r="O380" s="206"/>
      <c r="P380" s="206"/>
      <c r="Q380" s="204"/>
      <c r="R380" s="205"/>
      <c r="S380" s="206"/>
      <c r="T380" s="206"/>
      <c r="U380" s="206"/>
      <c r="V380" s="206"/>
    </row>
    <row r="381" spans="15:22" ht="31.5" customHeight="1">
      <c r="O381" s="206"/>
      <c r="P381" s="206"/>
      <c r="Q381" s="204"/>
      <c r="R381" s="205"/>
      <c r="S381" s="206"/>
      <c r="T381" s="206"/>
      <c r="U381" s="206"/>
      <c r="V381" s="206"/>
    </row>
    <row r="382" spans="15:22" ht="31.5" customHeight="1">
      <c r="O382" s="206"/>
      <c r="P382" s="206"/>
      <c r="Q382" s="204"/>
      <c r="R382" s="205"/>
      <c r="S382" s="206"/>
      <c r="T382" s="206"/>
      <c r="U382" s="206"/>
      <c r="V382" s="206"/>
    </row>
    <row r="383" spans="15:22" ht="31.5" customHeight="1">
      <c r="O383" s="206"/>
      <c r="P383" s="206"/>
      <c r="Q383" s="204"/>
      <c r="R383" s="205"/>
      <c r="S383" s="206"/>
      <c r="T383" s="206"/>
      <c r="U383" s="206"/>
      <c r="V383" s="206"/>
    </row>
    <row r="384" spans="15:22" ht="31.5" customHeight="1">
      <c r="O384" s="206"/>
      <c r="P384" s="206"/>
      <c r="Q384" s="204"/>
      <c r="R384" s="205"/>
      <c r="S384" s="206"/>
      <c r="T384" s="206"/>
      <c r="U384" s="206"/>
      <c r="V384" s="206"/>
    </row>
    <row r="385" spans="15:22" ht="31.5" customHeight="1">
      <c r="O385" s="206"/>
      <c r="P385" s="206"/>
      <c r="Q385" s="204"/>
      <c r="R385" s="205"/>
      <c r="S385" s="206"/>
      <c r="T385" s="206"/>
      <c r="U385" s="206"/>
      <c r="V385" s="206"/>
    </row>
    <row r="386" spans="15:22" ht="31.5" customHeight="1">
      <c r="O386" s="206"/>
      <c r="P386" s="206"/>
      <c r="Q386" s="204"/>
      <c r="R386" s="205"/>
      <c r="S386" s="206"/>
      <c r="T386" s="206"/>
      <c r="U386" s="206"/>
      <c r="V386" s="206"/>
    </row>
    <row r="387" spans="15:22" ht="31.5" customHeight="1">
      <c r="O387" s="206"/>
      <c r="P387" s="206"/>
      <c r="Q387" s="204"/>
      <c r="R387" s="205"/>
      <c r="S387" s="206"/>
      <c r="T387" s="206"/>
      <c r="U387" s="206"/>
      <c r="V387" s="206"/>
    </row>
    <row r="388" spans="15:22" ht="31.5" customHeight="1">
      <c r="O388" s="206"/>
      <c r="P388" s="206"/>
      <c r="Q388" s="204"/>
      <c r="R388" s="205"/>
      <c r="S388" s="206"/>
      <c r="T388" s="206"/>
      <c r="U388" s="206"/>
      <c r="V388" s="206"/>
    </row>
    <row r="389" spans="15:22" ht="31.5" customHeight="1">
      <c r="O389" s="206"/>
      <c r="P389" s="206"/>
      <c r="Q389" s="204"/>
      <c r="R389" s="205"/>
      <c r="S389" s="206"/>
      <c r="T389" s="206"/>
      <c r="U389" s="206"/>
      <c r="V389" s="206"/>
    </row>
    <row r="390" spans="15:22" ht="31.5" customHeight="1">
      <c r="O390" s="206"/>
      <c r="P390" s="206"/>
      <c r="Q390" s="204"/>
      <c r="R390" s="205"/>
      <c r="S390" s="206"/>
      <c r="T390" s="206"/>
      <c r="U390" s="206"/>
      <c r="V390" s="206"/>
    </row>
    <row r="391" spans="15:22" ht="31.5" customHeight="1">
      <c r="O391" s="206"/>
      <c r="P391" s="206"/>
      <c r="Q391" s="204"/>
      <c r="R391" s="205"/>
      <c r="S391" s="206"/>
      <c r="T391" s="206"/>
      <c r="U391" s="206"/>
      <c r="V391" s="206"/>
    </row>
    <row r="392" spans="15:22" ht="31.5" customHeight="1">
      <c r="O392" s="206"/>
      <c r="P392" s="206"/>
      <c r="Q392" s="204"/>
      <c r="R392" s="205"/>
      <c r="S392" s="206"/>
      <c r="T392" s="206"/>
      <c r="U392" s="206"/>
      <c r="V392" s="206"/>
    </row>
    <row r="393" spans="15:22" ht="31.5" customHeight="1">
      <c r="O393" s="206"/>
      <c r="P393" s="206"/>
      <c r="Q393" s="204"/>
      <c r="R393" s="205"/>
      <c r="S393" s="206"/>
      <c r="T393" s="206"/>
      <c r="U393" s="206"/>
      <c r="V393" s="206"/>
    </row>
    <row r="394" spans="15:22" ht="31.5" customHeight="1">
      <c r="O394" s="206"/>
      <c r="P394" s="206"/>
      <c r="Q394" s="204"/>
      <c r="R394" s="205"/>
      <c r="S394" s="206"/>
      <c r="T394" s="206"/>
      <c r="U394" s="206"/>
      <c r="V394" s="206"/>
    </row>
    <row r="395" spans="15:22" ht="31.5" customHeight="1">
      <c r="O395" s="206"/>
      <c r="P395" s="206"/>
      <c r="Q395" s="204"/>
      <c r="R395" s="205"/>
      <c r="S395" s="206"/>
      <c r="T395" s="206"/>
      <c r="U395" s="206"/>
      <c r="V395" s="206"/>
    </row>
    <row r="396" spans="15:22" ht="31.5" customHeight="1">
      <c r="O396" s="206"/>
      <c r="P396" s="206"/>
      <c r="Q396" s="204"/>
      <c r="R396" s="205"/>
      <c r="S396" s="206"/>
      <c r="T396" s="206"/>
      <c r="U396" s="206"/>
      <c r="V396" s="206"/>
    </row>
    <row r="397" spans="15:22" ht="31.5" customHeight="1">
      <c r="O397" s="206"/>
      <c r="P397" s="206"/>
      <c r="Q397" s="204"/>
      <c r="R397" s="205"/>
      <c r="S397" s="206"/>
      <c r="T397" s="206"/>
      <c r="U397" s="206"/>
      <c r="V397" s="206"/>
    </row>
    <row r="398" spans="15:22" ht="31.5" customHeight="1">
      <c r="O398" s="206"/>
      <c r="P398" s="206"/>
      <c r="Q398" s="204"/>
      <c r="R398" s="205"/>
      <c r="S398" s="206"/>
      <c r="T398" s="206"/>
      <c r="U398" s="206"/>
      <c r="V398" s="206"/>
    </row>
    <row r="399" spans="15:22" ht="31.5" customHeight="1">
      <c r="O399" s="206"/>
      <c r="P399" s="206"/>
      <c r="Q399" s="204"/>
      <c r="R399" s="205"/>
      <c r="S399" s="206"/>
      <c r="T399" s="206"/>
      <c r="U399" s="206"/>
      <c r="V399" s="206"/>
    </row>
    <row r="400" spans="15:22" ht="31.5" customHeight="1">
      <c r="O400" s="206"/>
      <c r="P400" s="206"/>
      <c r="Q400" s="204"/>
      <c r="R400" s="205"/>
      <c r="S400" s="206"/>
      <c r="T400" s="206"/>
      <c r="U400" s="206"/>
      <c r="V400" s="206"/>
    </row>
    <row r="401" spans="15:22" ht="31.5" customHeight="1">
      <c r="O401" s="206"/>
      <c r="P401" s="206"/>
      <c r="Q401" s="204"/>
      <c r="R401" s="205"/>
      <c r="S401" s="206"/>
      <c r="T401" s="206"/>
      <c r="U401" s="206"/>
      <c r="V401" s="206"/>
    </row>
    <row r="402" spans="15:22" ht="31.5" customHeight="1">
      <c r="O402" s="206"/>
      <c r="P402" s="206"/>
      <c r="Q402" s="204"/>
      <c r="R402" s="205"/>
      <c r="S402" s="206"/>
      <c r="T402" s="206"/>
      <c r="U402" s="206"/>
      <c r="V402" s="206"/>
    </row>
    <row r="403" spans="15:22" ht="31.5" customHeight="1">
      <c r="O403" s="206"/>
      <c r="P403" s="206"/>
      <c r="Q403" s="204"/>
      <c r="R403" s="205"/>
      <c r="S403" s="206"/>
      <c r="T403" s="206"/>
      <c r="U403" s="206"/>
      <c r="V403" s="206"/>
    </row>
    <row r="404" spans="15:22" ht="31.5" customHeight="1">
      <c r="O404" s="206"/>
      <c r="P404" s="206"/>
      <c r="Q404" s="204"/>
      <c r="R404" s="205"/>
      <c r="S404" s="206"/>
      <c r="T404" s="206"/>
      <c r="U404" s="206"/>
      <c r="V404" s="206"/>
    </row>
    <row r="405" spans="15:22" ht="31.5" customHeight="1">
      <c r="O405" s="206"/>
      <c r="P405" s="206"/>
      <c r="Q405" s="204"/>
      <c r="R405" s="205"/>
      <c r="S405" s="206"/>
      <c r="T405" s="206"/>
      <c r="U405" s="206"/>
      <c r="V405" s="206"/>
    </row>
    <row r="406" spans="15:22" ht="31.5" customHeight="1">
      <c r="O406" s="206"/>
      <c r="P406" s="206"/>
      <c r="Q406" s="204"/>
      <c r="R406" s="205"/>
      <c r="S406" s="206"/>
      <c r="T406" s="206"/>
      <c r="U406" s="206"/>
      <c r="V406" s="206"/>
    </row>
    <row r="407" spans="15:22" ht="31.5" customHeight="1">
      <c r="O407" s="206"/>
      <c r="P407" s="206"/>
      <c r="Q407" s="204"/>
      <c r="R407" s="205"/>
      <c r="S407" s="206"/>
      <c r="T407" s="206"/>
      <c r="U407" s="206"/>
      <c r="V407" s="206"/>
    </row>
    <row r="408" spans="15:22" ht="31.5" customHeight="1">
      <c r="O408" s="206"/>
      <c r="P408" s="206"/>
      <c r="Q408" s="204"/>
      <c r="R408" s="205"/>
      <c r="S408" s="206"/>
      <c r="T408" s="206"/>
      <c r="U408" s="206"/>
      <c r="V408" s="206"/>
    </row>
    <row r="409" spans="15:22" ht="31.5" customHeight="1">
      <c r="O409" s="206"/>
      <c r="P409" s="206"/>
      <c r="Q409" s="204"/>
      <c r="R409" s="205"/>
      <c r="S409" s="206"/>
      <c r="T409" s="206"/>
      <c r="U409" s="206"/>
      <c r="V409" s="206"/>
    </row>
    <row r="410" spans="15:22" ht="31.5" customHeight="1">
      <c r="O410" s="206"/>
      <c r="P410" s="206"/>
      <c r="Q410" s="204"/>
      <c r="R410" s="205"/>
      <c r="S410" s="206"/>
      <c r="T410" s="206"/>
      <c r="U410" s="206"/>
      <c r="V410" s="206"/>
    </row>
    <row r="411" spans="15:22" ht="31.5" customHeight="1">
      <c r="O411" s="206"/>
      <c r="P411" s="206"/>
      <c r="Q411" s="204"/>
      <c r="R411" s="205"/>
      <c r="S411" s="206"/>
      <c r="T411" s="206"/>
      <c r="U411" s="206"/>
      <c r="V411" s="206"/>
    </row>
    <row r="412" spans="15:22" ht="31.5" customHeight="1">
      <c r="O412" s="206"/>
      <c r="P412" s="206"/>
      <c r="Q412" s="204"/>
      <c r="R412" s="205"/>
      <c r="S412" s="206"/>
      <c r="T412" s="206"/>
      <c r="U412" s="206"/>
      <c r="V412" s="206"/>
    </row>
    <row r="413" spans="15:22" ht="31.5" customHeight="1">
      <c r="O413" s="206"/>
      <c r="P413" s="206"/>
      <c r="Q413" s="204"/>
      <c r="R413" s="205"/>
      <c r="S413" s="206"/>
      <c r="T413" s="206"/>
      <c r="U413" s="206"/>
      <c r="V413" s="206"/>
    </row>
    <row r="414" spans="15:22" ht="31.5" customHeight="1">
      <c r="O414" s="206"/>
      <c r="P414" s="206"/>
      <c r="Q414" s="204"/>
      <c r="R414" s="205"/>
      <c r="S414" s="206"/>
      <c r="T414" s="206"/>
      <c r="U414" s="206"/>
      <c r="V414" s="206"/>
    </row>
    <row r="415" spans="15:22" ht="31.5" customHeight="1">
      <c r="O415" s="206"/>
      <c r="P415" s="206"/>
      <c r="Q415" s="204"/>
      <c r="R415" s="205"/>
      <c r="S415" s="206"/>
      <c r="T415" s="206"/>
      <c r="U415" s="206"/>
      <c r="V415" s="206"/>
    </row>
    <row r="416" spans="15:22" ht="31.5" customHeight="1">
      <c r="O416" s="206"/>
      <c r="P416" s="206"/>
      <c r="Q416" s="204"/>
      <c r="R416" s="205"/>
      <c r="S416" s="206"/>
      <c r="T416" s="206"/>
      <c r="U416" s="206"/>
      <c r="V416" s="206"/>
    </row>
    <row r="417" spans="15:22" ht="31.5" customHeight="1">
      <c r="O417" s="206"/>
      <c r="P417" s="206"/>
      <c r="Q417" s="204"/>
      <c r="R417" s="205"/>
      <c r="S417" s="206"/>
      <c r="T417" s="206"/>
      <c r="U417" s="206"/>
      <c r="V417" s="206"/>
    </row>
    <row r="418" spans="15:22" ht="31.5" customHeight="1">
      <c r="O418" s="206"/>
      <c r="P418" s="206"/>
      <c r="Q418" s="204"/>
      <c r="R418" s="205"/>
      <c r="S418" s="206"/>
      <c r="T418" s="206"/>
      <c r="U418" s="206"/>
      <c r="V418" s="206"/>
    </row>
    <row r="419" spans="15:22" ht="31.5" customHeight="1">
      <c r="O419" s="206"/>
      <c r="P419" s="206"/>
      <c r="Q419" s="204"/>
      <c r="R419" s="205"/>
      <c r="S419" s="206"/>
      <c r="T419" s="206"/>
      <c r="U419" s="206"/>
      <c r="V419" s="206"/>
    </row>
    <row r="420" spans="15:22" ht="31.5" customHeight="1">
      <c r="O420" s="206"/>
      <c r="P420" s="206"/>
      <c r="Q420" s="204"/>
      <c r="R420" s="205"/>
      <c r="S420" s="206"/>
      <c r="T420" s="206"/>
      <c r="U420" s="206"/>
      <c r="V420" s="206"/>
    </row>
    <row r="421" spans="15:22" ht="31.5" customHeight="1">
      <c r="O421" s="206"/>
      <c r="P421" s="206"/>
      <c r="Q421" s="204"/>
      <c r="R421" s="205"/>
      <c r="S421" s="206"/>
      <c r="T421" s="206"/>
      <c r="U421" s="206"/>
      <c r="V421" s="206"/>
    </row>
    <row r="422" spans="15:22" ht="31.5" customHeight="1">
      <c r="O422" s="206"/>
      <c r="P422" s="206"/>
      <c r="Q422" s="204"/>
      <c r="R422" s="205"/>
      <c r="S422" s="206"/>
      <c r="T422" s="206"/>
      <c r="U422" s="206"/>
      <c r="V422" s="206"/>
    </row>
    <row r="423" spans="15:22" ht="31.5" customHeight="1">
      <c r="O423" s="206"/>
      <c r="P423" s="206"/>
      <c r="Q423" s="204"/>
      <c r="R423" s="205"/>
      <c r="S423" s="206"/>
      <c r="T423" s="206"/>
      <c r="U423" s="206"/>
      <c r="V423" s="206"/>
    </row>
    <row r="424" spans="15:22" ht="31.5" customHeight="1">
      <c r="O424" s="206"/>
      <c r="P424" s="206"/>
      <c r="Q424" s="204"/>
      <c r="R424" s="205"/>
      <c r="S424" s="206"/>
      <c r="T424" s="206"/>
      <c r="U424" s="206"/>
      <c r="V424" s="206"/>
    </row>
    <row r="425" spans="15:22" ht="31.5" customHeight="1">
      <c r="O425" s="206"/>
      <c r="P425" s="206"/>
      <c r="Q425" s="204"/>
      <c r="R425" s="205"/>
      <c r="S425" s="206"/>
      <c r="T425" s="206"/>
      <c r="U425" s="206"/>
      <c r="V425" s="206"/>
    </row>
    <row r="426" spans="15:22" ht="31.5" customHeight="1">
      <c r="O426" s="206"/>
      <c r="P426" s="206"/>
      <c r="Q426" s="204"/>
      <c r="R426" s="205"/>
      <c r="S426" s="206"/>
      <c r="T426" s="206"/>
      <c r="U426" s="206"/>
      <c r="V426" s="206"/>
    </row>
    <row r="427" spans="15:22" ht="31.5" customHeight="1">
      <c r="O427" s="206"/>
      <c r="P427" s="206"/>
      <c r="Q427" s="204"/>
      <c r="R427" s="205"/>
      <c r="S427" s="206"/>
      <c r="T427" s="206"/>
      <c r="U427" s="206"/>
      <c r="V427" s="206"/>
    </row>
    <row r="428" spans="15:22" ht="31.5" customHeight="1">
      <c r="O428" s="206"/>
      <c r="P428" s="206"/>
      <c r="Q428" s="204"/>
      <c r="R428" s="205"/>
      <c r="S428" s="206"/>
      <c r="T428" s="206"/>
      <c r="U428" s="206"/>
      <c r="V428" s="206"/>
    </row>
    <row r="429" spans="15:22" ht="31.5" customHeight="1">
      <c r="O429" s="206"/>
      <c r="P429" s="206"/>
      <c r="Q429" s="204"/>
      <c r="R429" s="205"/>
      <c r="S429" s="206"/>
      <c r="T429" s="206"/>
      <c r="U429" s="206"/>
      <c r="V429" s="206"/>
    </row>
    <row r="430" spans="15:22" ht="31.5" customHeight="1">
      <c r="O430" s="206"/>
      <c r="P430" s="206"/>
      <c r="Q430" s="204"/>
      <c r="R430" s="205"/>
      <c r="S430" s="206"/>
      <c r="T430" s="206"/>
      <c r="U430" s="206"/>
      <c r="V430" s="206"/>
    </row>
    <row r="431" spans="15:22" ht="31.5" customHeight="1">
      <c r="O431" s="206"/>
      <c r="P431" s="206"/>
      <c r="Q431" s="204"/>
      <c r="R431" s="205"/>
      <c r="S431" s="206"/>
      <c r="T431" s="206"/>
      <c r="U431" s="206"/>
      <c r="V431" s="206"/>
    </row>
    <row r="432" spans="15:22" ht="31.5" customHeight="1">
      <c r="O432" s="206"/>
      <c r="P432" s="206"/>
      <c r="Q432" s="204"/>
      <c r="R432" s="205"/>
      <c r="S432" s="206"/>
      <c r="T432" s="206"/>
      <c r="U432" s="206"/>
      <c r="V432" s="206"/>
    </row>
    <row r="433" spans="15:22" ht="31.5" customHeight="1">
      <c r="O433" s="206"/>
      <c r="P433" s="206"/>
      <c r="Q433" s="204"/>
      <c r="R433" s="205"/>
      <c r="S433" s="206"/>
      <c r="T433" s="206"/>
      <c r="U433" s="206"/>
      <c r="V433" s="206"/>
    </row>
    <row r="434" spans="15:22" ht="31.5" customHeight="1">
      <c r="O434" s="206"/>
      <c r="P434" s="206"/>
      <c r="Q434" s="204"/>
      <c r="R434" s="205"/>
      <c r="S434" s="206"/>
      <c r="T434" s="206"/>
      <c r="U434" s="206"/>
      <c r="V434" s="206"/>
    </row>
    <row r="435" spans="15:22" ht="31.5" customHeight="1">
      <c r="O435" s="206"/>
      <c r="P435" s="206"/>
      <c r="Q435" s="204"/>
      <c r="R435" s="205"/>
      <c r="S435" s="206"/>
      <c r="T435" s="206"/>
      <c r="U435" s="206"/>
      <c r="V435" s="206"/>
    </row>
    <row r="436" spans="15:22" ht="31.5" customHeight="1">
      <c r="O436" s="206"/>
      <c r="P436" s="206"/>
      <c r="Q436" s="204"/>
      <c r="R436" s="205"/>
      <c r="S436" s="206"/>
      <c r="T436" s="206"/>
      <c r="U436" s="206"/>
      <c r="V436" s="206"/>
    </row>
    <row r="437" spans="15:22" ht="31.5" customHeight="1">
      <c r="O437" s="206"/>
      <c r="P437" s="206"/>
      <c r="Q437" s="204"/>
      <c r="R437" s="205"/>
      <c r="S437" s="206"/>
      <c r="T437" s="206"/>
      <c r="U437" s="206"/>
      <c r="V437" s="206"/>
    </row>
    <row r="438" spans="15:22" ht="31.5" customHeight="1">
      <c r="O438" s="206"/>
      <c r="P438" s="206"/>
      <c r="Q438" s="204"/>
      <c r="R438" s="205"/>
      <c r="S438" s="206"/>
      <c r="T438" s="206"/>
      <c r="U438" s="206"/>
      <c r="V438" s="206"/>
    </row>
    <row r="439" spans="15:22" ht="31.5" customHeight="1">
      <c r="O439" s="206"/>
      <c r="P439" s="206"/>
      <c r="Q439" s="204"/>
      <c r="R439" s="205"/>
      <c r="S439" s="206"/>
      <c r="T439" s="206"/>
      <c r="U439" s="206"/>
      <c r="V439" s="206"/>
    </row>
    <row r="440" spans="15:22" ht="31.5" customHeight="1">
      <c r="O440" s="206"/>
      <c r="P440" s="206"/>
      <c r="Q440" s="204"/>
      <c r="R440" s="205"/>
      <c r="S440" s="206"/>
      <c r="T440" s="206"/>
      <c r="U440" s="206"/>
      <c r="V440" s="206"/>
    </row>
    <row r="441" spans="15:22" ht="31.5" customHeight="1">
      <c r="O441" s="206"/>
      <c r="P441" s="206"/>
      <c r="Q441" s="204"/>
      <c r="R441" s="205"/>
      <c r="S441" s="206"/>
      <c r="T441" s="206"/>
      <c r="U441" s="206"/>
      <c r="V441" s="206"/>
    </row>
    <row r="442" spans="15:22" ht="31.5" customHeight="1">
      <c r="O442" s="206"/>
      <c r="P442" s="206"/>
      <c r="Q442" s="204"/>
      <c r="R442" s="205"/>
      <c r="S442" s="206"/>
      <c r="T442" s="206"/>
      <c r="U442" s="206"/>
      <c r="V442" s="206"/>
    </row>
    <row r="443" spans="15:22" ht="31.5" customHeight="1">
      <c r="O443" s="206"/>
      <c r="P443" s="206"/>
      <c r="Q443" s="204"/>
      <c r="R443" s="205"/>
      <c r="S443" s="206"/>
      <c r="T443" s="206"/>
      <c r="U443" s="206"/>
      <c r="V443" s="206"/>
    </row>
    <row r="444" spans="15:22" ht="31.5" customHeight="1">
      <c r="O444" s="206"/>
      <c r="P444" s="206"/>
      <c r="Q444" s="204"/>
      <c r="R444" s="205"/>
      <c r="S444" s="206"/>
      <c r="T444" s="206"/>
      <c r="U444" s="206"/>
      <c r="V444" s="206"/>
    </row>
    <row r="445" spans="15:22" ht="31.5" customHeight="1">
      <c r="O445" s="206"/>
      <c r="P445" s="206"/>
      <c r="Q445" s="204"/>
      <c r="R445" s="205"/>
      <c r="S445" s="206"/>
      <c r="T445" s="206"/>
      <c r="U445" s="206"/>
      <c r="V445" s="206"/>
    </row>
    <row r="446" spans="15:22" ht="31.5" customHeight="1">
      <c r="O446" s="206"/>
      <c r="P446" s="206"/>
      <c r="Q446" s="204"/>
      <c r="R446" s="205"/>
      <c r="S446" s="206"/>
      <c r="T446" s="206"/>
      <c r="U446" s="206"/>
      <c r="V446" s="206"/>
    </row>
    <row r="447" spans="15:22" ht="31.5" customHeight="1">
      <c r="O447" s="206"/>
      <c r="P447" s="206"/>
      <c r="Q447" s="204"/>
      <c r="R447" s="205"/>
      <c r="S447" s="206"/>
      <c r="T447" s="206"/>
      <c r="U447" s="206"/>
      <c r="V447" s="206"/>
    </row>
    <row r="448" spans="15:22" ht="31.5" customHeight="1">
      <c r="O448" s="206"/>
      <c r="P448" s="206"/>
      <c r="Q448" s="204"/>
      <c r="R448" s="205"/>
      <c r="S448" s="206"/>
      <c r="T448" s="206"/>
      <c r="U448" s="206"/>
      <c r="V448" s="206"/>
    </row>
    <row r="449" spans="15:22" ht="31.5" customHeight="1">
      <c r="O449" s="206"/>
      <c r="P449" s="206"/>
      <c r="Q449" s="204"/>
      <c r="R449" s="205"/>
      <c r="S449" s="206"/>
      <c r="T449" s="206"/>
      <c r="U449" s="206"/>
      <c r="V449" s="206"/>
    </row>
    <row r="450" spans="15:22" ht="31.5" customHeight="1">
      <c r="O450" s="206"/>
      <c r="P450" s="206"/>
      <c r="Q450" s="204"/>
      <c r="R450" s="205"/>
      <c r="S450" s="206"/>
      <c r="T450" s="206"/>
      <c r="U450" s="206"/>
      <c r="V450" s="206"/>
    </row>
    <row r="451" spans="15:22" ht="31.5" customHeight="1">
      <c r="O451" s="206"/>
      <c r="P451" s="206"/>
      <c r="Q451" s="204"/>
      <c r="R451" s="205"/>
      <c r="S451" s="206"/>
      <c r="T451" s="206"/>
      <c r="U451" s="206"/>
      <c r="V451" s="206"/>
    </row>
    <row r="452" spans="15:22" ht="31.5" customHeight="1">
      <c r="O452" s="206"/>
      <c r="P452" s="206"/>
      <c r="Q452" s="204"/>
      <c r="R452" s="205"/>
      <c r="S452" s="206"/>
      <c r="T452" s="206"/>
      <c r="U452" s="206"/>
      <c r="V452" s="206"/>
    </row>
    <row r="453" spans="15:22" ht="31.5" customHeight="1">
      <c r="O453" s="206"/>
      <c r="P453" s="206"/>
      <c r="Q453" s="204"/>
      <c r="R453" s="205"/>
      <c r="S453" s="206"/>
      <c r="T453" s="206"/>
      <c r="U453" s="206"/>
      <c r="V453" s="206"/>
    </row>
    <row r="454" spans="15:22" ht="31.5" customHeight="1">
      <c r="O454" s="206"/>
      <c r="P454" s="206"/>
      <c r="Q454" s="204"/>
      <c r="R454" s="205"/>
      <c r="S454" s="206"/>
      <c r="T454" s="206"/>
      <c r="U454" s="206"/>
      <c r="V454" s="206"/>
    </row>
    <row r="455" spans="15:22" ht="31.5" customHeight="1">
      <c r="O455" s="206"/>
      <c r="P455" s="206"/>
      <c r="Q455" s="204"/>
      <c r="R455" s="205"/>
      <c r="S455" s="206"/>
      <c r="T455" s="206"/>
      <c r="U455" s="206"/>
      <c r="V455" s="206"/>
    </row>
    <row r="456" spans="15:22" ht="31.5" customHeight="1">
      <c r="O456" s="206"/>
      <c r="P456" s="206"/>
      <c r="Q456" s="204"/>
      <c r="R456" s="205"/>
      <c r="S456" s="206"/>
      <c r="T456" s="206"/>
      <c r="U456" s="206"/>
      <c r="V456" s="206"/>
    </row>
    <row r="457" spans="15:22" ht="31.5" customHeight="1">
      <c r="O457" s="206"/>
      <c r="P457" s="206"/>
      <c r="Q457" s="204"/>
      <c r="R457" s="205"/>
      <c r="S457" s="206"/>
      <c r="T457" s="206"/>
      <c r="U457" s="206"/>
      <c r="V457" s="206"/>
    </row>
    <row r="458" spans="15:22" ht="31.5" customHeight="1">
      <c r="O458" s="206"/>
      <c r="P458" s="206"/>
      <c r="Q458" s="204"/>
      <c r="R458" s="205"/>
      <c r="S458" s="206"/>
      <c r="T458" s="206"/>
      <c r="U458" s="206"/>
      <c r="V458" s="206"/>
    </row>
    <row r="459" spans="15:22" ht="31.5" customHeight="1">
      <c r="O459" s="206"/>
      <c r="P459" s="206"/>
      <c r="Q459" s="204"/>
      <c r="R459" s="205"/>
      <c r="S459" s="206"/>
      <c r="T459" s="206"/>
      <c r="U459" s="206"/>
      <c r="V459" s="206"/>
    </row>
    <row r="460" spans="15:22" ht="31.5" customHeight="1">
      <c r="O460" s="206"/>
      <c r="P460" s="206"/>
      <c r="Q460" s="204"/>
      <c r="R460" s="205"/>
      <c r="S460" s="206"/>
      <c r="T460" s="206"/>
      <c r="U460" s="206"/>
      <c r="V460" s="206"/>
    </row>
    <row r="461" spans="15:22" ht="31.5" customHeight="1">
      <c r="O461" s="206"/>
      <c r="P461" s="206"/>
      <c r="Q461" s="204"/>
      <c r="R461" s="205"/>
      <c r="S461" s="206"/>
      <c r="T461" s="206"/>
      <c r="U461" s="206"/>
      <c r="V461" s="206"/>
    </row>
    <row r="462" spans="15:22" ht="31.5" customHeight="1">
      <c r="O462" s="206"/>
      <c r="P462" s="206"/>
      <c r="Q462" s="204"/>
      <c r="R462" s="205"/>
      <c r="S462" s="206"/>
      <c r="T462" s="206"/>
      <c r="U462" s="206"/>
      <c r="V462" s="206"/>
    </row>
    <row r="463" spans="15:22" ht="31.5" customHeight="1">
      <c r="O463" s="206"/>
      <c r="P463" s="206"/>
      <c r="Q463" s="204"/>
      <c r="R463" s="205"/>
      <c r="S463" s="206"/>
      <c r="T463" s="206"/>
      <c r="U463" s="206"/>
      <c r="V463" s="206"/>
    </row>
    <row r="464" spans="15:22" ht="31.5" customHeight="1">
      <c r="O464" s="206"/>
      <c r="P464" s="206"/>
      <c r="Q464" s="204"/>
      <c r="R464" s="205"/>
      <c r="S464" s="206"/>
      <c r="T464" s="206"/>
      <c r="U464" s="206"/>
      <c r="V464" s="206"/>
    </row>
    <row r="465" spans="15:22" ht="31.5" customHeight="1">
      <c r="O465" s="206"/>
      <c r="P465" s="206"/>
      <c r="Q465" s="204"/>
      <c r="R465" s="205"/>
      <c r="S465" s="206"/>
      <c r="T465" s="206"/>
      <c r="U465" s="206"/>
      <c r="V465" s="206"/>
    </row>
    <row r="466" spans="15:22" ht="31.5" customHeight="1">
      <c r="O466" s="206"/>
      <c r="P466" s="206"/>
      <c r="Q466" s="204"/>
      <c r="R466" s="205"/>
      <c r="S466" s="206"/>
      <c r="T466" s="206"/>
      <c r="U466" s="206"/>
      <c r="V466" s="206"/>
    </row>
    <row r="467" spans="15:22" ht="31.5" customHeight="1">
      <c r="O467" s="206"/>
      <c r="P467" s="206"/>
      <c r="Q467" s="204"/>
      <c r="R467" s="205"/>
      <c r="S467" s="206"/>
      <c r="T467" s="206"/>
      <c r="U467" s="206"/>
      <c r="V467" s="206"/>
    </row>
    <row r="468" spans="15:22" ht="31.5" customHeight="1">
      <c r="O468" s="206"/>
      <c r="P468" s="206"/>
      <c r="Q468" s="204"/>
      <c r="R468" s="205"/>
      <c r="S468" s="206"/>
      <c r="T468" s="206"/>
      <c r="U468" s="206"/>
      <c r="V468" s="206"/>
    </row>
    <row r="469" spans="15:22" ht="31.5" customHeight="1">
      <c r="O469" s="206"/>
      <c r="P469" s="206"/>
      <c r="Q469" s="204"/>
      <c r="R469" s="205"/>
      <c r="S469" s="206"/>
      <c r="T469" s="206"/>
      <c r="U469" s="206"/>
      <c r="V469" s="206"/>
    </row>
    <row r="470" spans="15:22" ht="31.5" customHeight="1">
      <c r="O470" s="206"/>
      <c r="P470" s="206"/>
      <c r="Q470" s="204"/>
      <c r="R470" s="205"/>
      <c r="S470" s="206"/>
      <c r="T470" s="206"/>
      <c r="U470" s="206"/>
      <c r="V470" s="206"/>
    </row>
    <row r="471" spans="15:22" ht="31.5" customHeight="1">
      <c r="O471" s="206"/>
      <c r="P471" s="206"/>
      <c r="Q471" s="204"/>
      <c r="R471" s="205"/>
      <c r="S471" s="206"/>
      <c r="T471" s="206"/>
      <c r="U471" s="206"/>
      <c r="V471" s="206"/>
    </row>
    <row r="472" spans="15:22" ht="31.5" customHeight="1">
      <c r="O472" s="206"/>
      <c r="P472" s="206"/>
      <c r="Q472" s="204"/>
      <c r="R472" s="205"/>
      <c r="S472" s="206"/>
      <c r="T472" s="206"/>
      <c r="U472" s="206"/>
      <c r="V472" s="206"/>
    </row>
    <row r="473" spans="15:22" ht="31.5" customHeight="1">
      <c r="O473" s="206"/>
      <c r="P473" s="206"/>
      <c r="Q473" s="204"/>
      <c r="R473" s="205"/>
      <c r="S473" s="206"/>
      <c r="T473" s="206"/>
      <c r="U473" s="206"/>
      <c r="V473" s="206"/>
    </row>
    <row r="474" spans="15:22" ht="31.5" customHeight="1">
      <c r="O474" s="206"/>
      <c r="P474" s="206"/>
      <c r="Q474" s="204"/>
      <c r="R474" s="205"/>
      <c r="S474" s="206"/>
      <c r="T474" s="206"/>
      <c r="U474" s="206"/>
      <c r="V474" s="206"/>
    </row>
    <row r="475" spans="15:22" ht="31.5" customHeight="1">
      <c r="O475" s="206"/>
      <c r="P475" s="206"/>
      <c r="Q475" s="204"/>
      <c r="R475" s="205"/>
      <c r="S475" s="206"/>
      <c r="T475" s="206"/>
      <c r="U475" s="206"/>
      <c r="V475" s="206"/>
    </row>
    <row r="476" spans="15:22" ht="31.5" customHeight="1">
      <c r="O476" s="206"/>
      <c r="P476" s="206"/>
      <c r="Q476" s="204"/>
      <c r="R476" s="205"/>
      <c r="S476" s="206"/>
      <c r="T476" s="206"/>
      <c r="U476" s="206"/>
      <c r="V476" s="206"/>
    </row>
    <row r="477" spans="15:22" ht="31.5" customHeight="1">
      <c r="O477" s="206"/>
      <c r="P477" s="206"/>
      <c r="Q477" s="204"/>
      <c r="R477" s="205"/>
      <c r="S477" s="206"/>
      <c r="T477" s="206"/>
      <c r="U477" s="206"/>
      <c r="V477" s="206"/>
    </row>
    <row r="478" spans="15:22" ht="31.5" customHeight="1">
      <c r="O478" s="206"/>
      <c r="P478" s="206"/>
      <c r="Q478" s="204"/>
      <c r="R478" s="205"/>
      <c r="S478" s="206"/>
      <c r="T478" s="206"/>
      <c r="U478" s="206"/>
      <c r="V478" s="206"/>
    </row>
    <row r="479" spans="15:22" ht="31.5" customHeight="1">
      <c r="O479" s="206"/>
      <c r="P479" s="206"/>
      <c r="Q479" s="204"/>
      <c r="R479" s="205"/>
      <c r="S479" s="206"/>
      <c r="T479" s="206"/>
      <c r="U479" s="206"/>
      <c r="V479" s="206"/>
    </row>
    <row r="480" spans="15:22" ht="31.5" customHeight="1">
      <c r="O480" s="206"/>
      <c r="P480" s="206"/>
      <c r="Q480" s="204"/>
      <c r="R480" s="205"/>
      <c r="S480" s="206"/>
      <c r="T480" s="206"/>
      <c r="U480" s="206"/>
      <c r="V480" s="206"/>
    </row>
    <row r="481" spans="15:22" ht="31.5" customHeight="1">
      <c r="O481" s="206"/>
      <c r="P481" s="206"/>
      <c r="Q481" s="204"/>
      <c r="R481" s="205"/>
      <c r="S481" s="206"/>
      <c r="T481" s="206"/>
      <c r="U481" s="206"/>
      <c r="V481" s="206"/>
    </row>
    <row r="482" spans="15:22" ht="31.5" customHeight="1">
      <c r="O482" s="206"/>
      <c r="P482" s="206"/>
      <c r="Q482" s="204"/>
      <c r="R482" s="205"/>
      <c r="S482" s="206"/>
      <c r="T482" s="206"/>
      <c r="U482" s="206"/>
      <c r="V482" s="206"/>
    </row>
    <row r="483" spans="15:22" ht="31.5" customHeight="1">
      <c r="O483" s="206"/>
      <c r="P483" s="206"/>
      <c r="Q483" s="204"/>
      <c r="R483" s="205"/>
      <c r="S483" s="206"/>
      <c r="T483" s="206"/>
      <c r="U483" s="206"/>
      <c r="V483" s="206"/>
    </row>
    <row r="484" spans="15:22" ht="31.5" customHeight="1">
      <c r="O484" s="206"/>
      <c r="P484" s="206"/>
      <c r="Q484" s="204"/>
      <c r="R484" s="205"/>
      <c r="S484" s="206"/>
      <c r="T484" s="206"/>
      <c r="U484" s="206"/>
      <c r="V484" s="206"/>
    </row>
    <row r="485" spans="15:22" ht="31.5" customHeight="1">
      <c r="O485" s="206"/>
      <c r="P485" s="206"/>
      <c r="Q485" s="204"/>
      <c r="R485" s="205"/>
      <c r="S485" s="206"/>
      <c r="T485" s="206"/>
      <c r="U485" s="206"/>
      <c r="V485" s="206"/>
    </row>
    <row r="486" spans="15:22" ht="31.5" customHeight="1">
      <c r="O486" s="206"/>
      <c r="P486" s="206"/>
      <c r="Q486" s="204"/>
      <c r="R486" s="205"/>
      <c r="S486" s="206"/>
      <c r="T486" s="206"/>
      <c r="U486" s="206"/>
      <c r="V486" s="206"/>
    </row>
    <row r="487" spans="15:22" ht="31.5" customHeight="1">
      <c r="O487" s="206"/>
      <c r="P487" s="206"/>
      <c r="Q487" s="204"/>
      <c r="R487" s="205"/>
      <c r="S487" s="206"/>
      <c r="T487" s="206"/>
      <c r="U487" s="206"/>
      <c r="V487" s="206"/>
    </row>
    <row r="488" spans="15:22" ht="31.5" customHeight="1">
      <c r="O488" s="206"/>
      <c r="P488" s="206"/>
      <c r="Q488" s="204"/>
      <c r="R488" s="205"/>
      <c r="S488" s="206"/>
      <c r="T488" s="206"/>
      <c r="U488" s="206"/>
      <c r="V488" s="206"/>
    </row>
    <row r="489" spans="15:22" ht="31.5" customHeight="1">
      <c r="O489" s="206"/>
      <c r="P489" s="206"/>
      <c r="Q489" s="204"/>
      <c r="R489" s="205"/>
      <c r="S489" s="206"/>
      <c r="T489" s="206"/>
      <c r="U489" s="206"/>
      <c r="V489" s="206"/>
    </row>
    <row r="490" spans="15:22" ht="31.5" customHeight="1">
      <c r="O490" s="206"/>
      <c r="P490" s="206"/>
      <c r="Q490" s="204"/>
      <c r="R490" s="205"/>
      <c r="S490" s="206"/>
      <c r="T490" s="206"/>
      <c r="U490" s="206"/>
      <c r="V490" s="206"/>
    </row>
    <row r="491" spans="15:22" ht="31.5" customHeight="1">
      <c r="O491" s="206"/>
      <c r="P491" s="206"/>
      <c r="Q491" s="204"/>
      <c r="R491" s="205"/>
      <c r="S491" s="206"/>
      <c r="T491" s="206"/>
      <c r="U491" s="206"/>
      <c r="V491" s="206"/>
    </row>
    <row r="492" spans="15:22" ht="31.5" customHeight="1">
      <c r="O492" s="206"/>
      <c r="P492" s="206"/>
      <c r="Q492" s="204"/>
      <c r="R492" s="205"/>
      <c r="S492" s="206"/>
      <c r="T492" s="206"/>
      <c r="U492" s="206"/>
      <c r="V492" s="206"/>
    </row>
    <row r="493" spans="15:22" ht="31.5" customHeight="1">
      <c r="O493" s="206"/>
      <c r="P493" s="206"/>
      <c r="Q493" s="204"/>
      <c r="R493" s="205"/>
      <c r="S493" s="206"/>
      <c r="T493" s="206"/>
      <c r="U493" s="206"/>
      <c r="V493" s="206"/>
    </row>
    <row r="494" spans="15:22" ht="31.5" customHeight="1">
      <c r="O494" s="206"/>
      <c r="P494" s="206"/>
      <c r="Q494" s="204"/>
      <c r="R494" s="205"/>
      <c r="S494" s="206"/>
      <c r="T494" s="206"/>
      <c r="U494" s="206"/>
      <c r="V494" s="206"/>
    </row>
    <row r="495" spans="15:22" ht="31.5" customHeight="1">
      <c r="O495" s="206"/>
      <c r="P495" s="206"/>
      <c r="Q495" s="204"/>
      <c r="R495" s="205"/>
      <c r="S495" s="206"/>
      <c r="T495" s="206"/>
      <c r="U495" s="206"/>
      <c r="V495" s="206"/>
    </row>
    <row r="496" spans="15:22" ht="31.5" customHeight="1">
      <c r="O496" s="206"/>
      <c r="P496" s="206"/>
      <c r="Q496" s="204"/>
      <c r="R496" s="205"/>
      <c r="S496" s="206"/>
      <c r="T496" s="206"/>
      <c r="U496" s="206"/>
      <c r="V496" s="206"/>
    </row>
    <row r="497" spans="15:22" ht="31.5" customHeight="1">
      <c r="O497" s="206"/>
      <c r="P497" s="206"/>
      <c r="Q497" s="204"/>
      <c r="R497" s="205"/>
      <c r="S497" s="206"/>
      <c r="T497" s="206"/>
      <c r="U497" s="206"/>
      <c r="V497" s="206"/>
    </row>
    <row r="498" spans="15:22" ht="31.5" customHeight="1">
      <c r="O498" s="206"/>
      <c r="P498" s="206"/>
      <c r="Q498" s="204"/>
      <c r="R498" s="205"/>
      <c r="S498" s="206"/>
      <c r="T498" s="206"/>
      <c r="U498" s="206"/>
      <c r="V498" s="206"/>
    </row>
    <row r="499" spans="15:22" ht="31.5" customHeight="1">
      <c r="O499" s="206"/>
      <c r="P499" s="206"/>
      <c r="Q499" s="204"/>
      <c r="R499" s="205"/>
      <c r="S499" s="206"/>
      <c r="T499" s="206"/>
      <c r="U499" s="206"/>
      <c r="V499" s="206"/>
    </row>
    <row r="500" spans="15:22" ht="31.5" customHeight="1">
      <c r="O500" s="206"/>
      <c r="P500" s="206"/>
      <c r="Q500" s="204"/>
      <c r="R500" s="205"/>
      <c r="S500" s="206"/>
      <c r="T500" s="206"/>
      <c r="U500" s="206"/>
      <c r="V500" s="206"/>
    </row>
    <row r="501" spans="15:22" ht="31.5" customHeight="1">
      <c r="O501" s="206"/>
      <c r="P501" s="206"/>
      <c r="Q501" s="204"/>
      <c r="R501" s="205"/>
      <c r="S501" s="206"/>
      <c r="T501" s="206"/>
      <c r="U501" s="206"/>
      <c r="V501" s="206"/>
    </row>
    <row r="502" spans="15:22" ht="31.5" customHeight="1">
      <c r="O502" s="206"/>
      <c r="P502" s="206"/>
      <c r="Q502" s="204"/>
      <c r="R502" s="205"/>
      <c r="S502" s="206"/>
      <c r="T502" s="206"/>
      <c r="U502" s="206"/>
      <c r="V502" s="206"/>
    </row>
    <row r="503" spans="15:22" ht="31.5" customHeight="1">
      <c r="O503" s="206"/>
      <c r="P503" s="206"/>
      <c r="Q503" s="204"/>
      <c r="R503" s="205"/>
      <c r="S503" s="206"/>
      <c r="T503" s="206"/>
      <c r="U503" s="206"/>
      <c r="V503" s="206"/>
    </row>
    <row r="504" spans="15:22" ht="31.5" customHeight="1">
      <c r="O504" s="206"/>
      <c r="P504" s="206"/>
      <c r="Q504" s="204"/>
      <c r="R504" s="205"/>
      <c r="S504" s="206"/>
      <c r="T504" s="206"/>
      <c r="U504" s="206"/>
      <c r="V504" s="206"/>
    </row>
    <row r="505" spans="15:22" ht="31.5" customHeight="1">
      <c r="O505" s="206"/>
      <c r="P505" s="206"/>
      <c r="Q505" s="204"/>
      <c r="R505" s="205"/>
      <c r="S505" s="206"/>
      <c r="T505" s="206"/>
      <c r="U505" s="206"/>
      <c r="V505" s="206"/>
    </row>
    <row r="506" spans="15:22" ht="31.5" customHeight="1">
      <c r="O506" s="206"/>
      <c r="P506" s="206"/>
      <c r="Q506" s="204"/>
      <c r="R506" s="205"/>
      <c r="S506" s="206"/>
      <c r="T506" s="206"/>
      <c r="U506" s="206"/>
      <c r="V506" s="206"/>
    </row>
    <row r="507" spans="15:22" ht="31.5" customHeight="1">
      <c r="O507" s="206"/>
      <c r="P507" s="206"/>
      <c r="Q507" s="204"/>
      <c r="R507" s="205"/>
      <c r="S507" s="206"/>
      <c r="T507" s="206"/>
      <c r="U507" s="206"/>
      <c r="V507" s="206"/>
    </row>
    <row r="508" spans="15:22" ht="31.5" customHeight="1">
      <c r="O508" s="206"/>
      <c r="P508" s="206"/>
      <c r="Q508" s="204"/>
      <c r="R508" s="205"/>
      <c r="S508" s="206"/>
      <c r="T508" s="206"/>
      <c r="U508" s="206"/>
      <c r="V508" s="206"/>
    </row>
    <row r="509" spans="15:22" ht="31.5" customHeight="1">
      <c r="O509" s="206"/>
      <c r="P509" s="206"/>
      <c r="Q509" s="204"/>
      <c r="R509" s="205"/>
      <c r="S509" s="206"/>
      <c r="T509" s="206"/>
      <c r="U509" s="206"/>
      <c r="V509" s="206"/>
    </row>
    <row r="510" spans="15:22" ht="31.5" customHeight="1">
      <c r="O510" s="206"/>
      <c r="P510" s="206"/>
      <c r="Q510" s="204"/>
      <c r="R510" s="205"/>
      <c r="S510" s="206"/>
      <c r="T510" s="206"/>
      <c r="U510" s="206"/>
      <c r="V510" s="206"/>
    </row>
    <row r="511" spans="15:22" ht="31.5" customHeight="1">
      <c r="O511" s="206"/>
      <c r="P511" s="206"/>
      <c r="Q511" s="204"/>
      <c r="R511" s="205"/>
      <c r="S511" s="206"/>
      <c r="T511" s="206"/>
      <c r="U511" s="206"/>
      <c r="V511" s="206"/>
    </row>
    <row r="512" spans="15:22" ht="31.5" customHeight="1">
      <c r="O512" s="206"/>
      <c r="P512" s="206"/>
      <c r="Q512" s="204"/>
      <c r="R512" s="205"/>
      <c r="S512" s="206"/>
      <c r="T512" s="206"/>
      <c r="U512" s="206"/>
      <c r="V512" s="206"/>
    </row>
    <row r="513" spans="15:22" ht="31.5" customHeight="1">
      <c r="O513" s="206"/>
      <c r="P513" s="206"/>
      <c r="Q513" s="204"/>
      <c r="R513" s="205"/>
      <c r="S513" s="206"/>
      <c r="T513" s="206"/>
      <c r="U513" s="206"/>
      <c r="V513" s="206"/>
    </row>
    <row r="514" spans="15:22" ht="31.5" customHeight="1">
      <c r="O514" s="206"/>
      <c r="P514" s="206"/>
      <c r="Q514" s="204"/>
      <c r="R514" s="205"/>
      <c r="S514" s="206"/>
      <c r="T514" s="206"/>
      <c r="U514" s="206"/>
      <c r="V514" s="206"/>
    </row>
    <row r="515" spans="15:22" ht="31.5" customHeight="1">
      <c r="O515" s="206"/>
      <c r="P515" s="206"/>
      <c r="Q515" s="204"/>
      <c r="R515" s="205"/>
      <c r="S515" s="206"/>
      <c r="T515" s="206"/>
      <c r="U515" s="206"/>
      <c r="V515" s="206"/>
    </row>
    <row r="516" spans="15:22" ht="31.5" customHeight="1">
      <c r="O516" s="206"/>
      <c r="P516" s="206"/>
      <c r="Q516" s="204"/>
      <c r="R516" s="205"/>
      <c r="S516" s="206"/>
      <c r="T516" s="206"/>
      <c r="U516" s="206"/>
      <c r="V516" s="206"/>
    </row>
    <row r="517" spans="15:22" ht="31.5" customHeight="1">
      <c r="O517" s="206"/>
      <c r="P517" s="206"/>
      <c r="Q517" s="204"/>
      <c r="R517" s="205"/>
      <c r="S517" s="206"/>
      <c r="T517" s="206"/>
      <c r="U517" s="206"/>
      <c r="V517" s="206"/>
    </row>
    <row r="518" spans="15:22" ht="31.5" customHeight="1">
      <c r="O518" s="206"/>
      <c r="P518" s="206"/>
      <c r="Q518" s="204"/>
      <c r="R518" s="205"/>
      <c r="S518" s="206"/>
      <c r="T518" s="206"/>
      <c r="U518" s="206"/>
      <c r="V518" s="206"/>
    </row>
    <row r="519" spans="15:22" ht="31.5" customHeight="1">
      <c r="O519" s="206"/>
      <c r="P519" s="206"/>
      <c r="Q519" s="204"/>
      <c r="R519" s="205"/>
      <c r="S519" s="206"/>
      <c r="T519" s="206"/>
      <c r="U519" s="206"/>
      <c r="V519" s="206"/>
    </row>
    <row r="520" spans="15:22" ht="31.5" customHeight="1">
      <c r="O520" s="206"/>
      <c r="P520" s="206"/>
      <c r="Q520" s="204"/>
      <c r="R520" s="205"/>
      <c r="S520" s="206"/>
      <c r="T520" s="206"/>
      <c r="U520" s="206"/>
      <c r="V520" s="206"/>
    </row>
    <row r="521" spans="15:22" ht="31.5" customHeight="1">
      <c r="O521" s="206"/>
      <c r="P521" s="206"/>
      <c r="Q521" s="204"/>
      <c r="R521" s="205"/>
      <c r="S521" s="206"/>
      <c r="T521" s="206"/>
      <c r="U521" s="206"/>
      <c r="V521" s="206"/>
    </row>
    <row r="522" spans="15:22" ht="31.5" customHeight="1">
      <c r="O522" s="206"/>
      <c r="P522" s="206"/>
      <c r="Q522" s="204"/>
      <c r="R522" s="205"/>
      <c r="S522" s="206"/>
      <c r="T522" s="206"/>
      <c r="U522" s="206"/>
      <c r="V522" s="206"/>
    </row>
    <row r="523" spans="15:22" ht="31.5" customHeight="1">
      <c r="O523" s="206"/>
      <c r="P523" s="206"/>
      <c r="Q523" s="204"/>
      <c r="R523" s="205"/>
      <c r="S523" s="206"/>
      <c r="T523" s="206"/>
      <c r="U523" s="206"/>
      <c r="V523" s="206"/>
    </row>
    <row r="524" spans="15:22" ht="31.5" customHeight="1">
      <c r="O524" s="206"/>
      <c r="P524" s="206"/>
      <c r="Q524" s="204"/>
      <c r="R524" s="205"/>
      <c r="S524" s="206"/>
      <c r="T524" s="206"/>
      <c r="U524" s="206"/>
      <c r="V524" s="206"/>
    </row>
    <row r="525" spans="15:22" ht="12.75">
      <c r="O525" s="206"/>
      <c r="P525" s="206"/>
      <c r="Q525" s="204"/>
      <c r="R525" s="205"/>
      <c r="S525" s="206"/>
      <c r="T525" s="206"/>
      <c r="U525" s="206"/>
      <c r="V525" s="206"/>
    </row>
    <row r="526" spans="15:22" ht="12.75">
      <c r="O526" s="206"/>
      <c r="P526" s="206"/>
      <c r="Q526" s="204"/>
      <c r="R526" s="205"/>
      <c r="S526" s="206"/>
      <c r="T526" s="206"/>
      <c r="U526" s="206"/>
      <c r="V526" s="206"/>
    </row>
    <row r="527" spans="15:22" ht="12.75">
      <c r="O527" s="206"/>
      <c r="P527" s="206"/>
      <c r="Q527" s="204"/>
      <c r="R527" s="205"/>
      <c r="S527" s="206"/>
      <c r="T527" s="206"/>
      <c r="U527" s="206"/>
      <c r="V527" s="206"/>
    </row>
    <row r="528" spans="15:22" ht="12.75">
      <c r="O528" s="206"/>
      <c r="P528" s="206"/>
      <c r="Q528" s="204"/>
      <c r="R528" s="205"/>
      <c r="S528" s="206"/>
      <c r="T528" s="206"/>
      <c r="U528" s="206"/>
      <c r="V528" s="206"/>
    </row>
    <row r="529" spans="15:22" ht="12.75">
      <c r="O529" s="206"/>
      <c r="P529" s="206"/>
      <c r="Q529" s="204"/>
      <c r="R529" s="205"/>
      <c r="S529" s="206"/>
      <c r="T529" s="206"/>
      <c r="U529" s="206"/>
      <c r="V529" s="206"/>
    </row>
    <row r="530" spans="15:22" ht="12.75">
      <c r="O530" s="206"/>
      <c r="P530" s="206"/>
      <c r="Q530" s="204"/>
      <c r="R530" s="205"/>
      <c r="S530" s="206"/>
      <c r="T530" s="206"/>
      <c r="U530" s="206"/>
      <c r="V530" s="206"/>
    </row>
    <row r="531" spans="15:22" ht="12.75">
      <c r="O531" s="206"/>
      <c r="P531" s="206"/>
      <c r="Q531" s="204"/>
      <c r="R531" s="205"/>
      <c r="S531" s="206"/>
      <c r="T531" s="206"/>
      <c r="U531" s="206"/>
      <c r="V531" s="206"/>
    </row>
    <row r="532" spans="15:22" ht="12.75">
      <c r="O532" s="206"/>
      <c r="P532" s="206"/>
      <c r="Q532" s="204"/>
      <c r="R532" s="205"/>
      <c r="S532" s="206"/>
      <c r="T532" s="206"/>
      <c r="U532" s="206"/>
      <c r="V532" s="206"/>
    </row>
    <row r="533" spans="15:22" ht="12.75">
      <c r="O533" s="206"/>
      <c r="P533" s="206"/>
      <c r="Q533" s="204"/>
      <c r="R533" s="205"/>
      <c r="S533" s="206"/>
      <c r="T533" s="206"/>
      <c r="U533" s="206"/>
      <c r="V533" s="206"/>
    </row>
    <row r="534" spans="15:22" ht="12.75">
      <c r="O534" s="206"/>
      <c r="P534" s="206"/>
      <c r="Q534" s="204"/>
      <c r="R534" s="205"/>
      <c r="S534" s="206"/>
      <c r="T534" s="206"/>
      <c r="U534" s="206"/>
      <c r="V534" s="206"/>
    </row>
    <row r="535" spans="15:22" ht="12.75">
      <c r="O535" s="206"/>
      <c r="P535" s="206"/>
      <c r="Q535" s="204"/>
      <c r="R535" s="205"/>
      <c r="S535" s="206"/>
      <c r="T535" s="206"/>
      <c r="U535" s="206"/>
      <c r="V535" s="206"/>
    </row>
    <row r="536" spans="15:22" ht="12.75">
      <c r="O536" s="206"/>
      <c r="P536" s="206"/>
      <c r="Q536" s="204"/>
      <c r="R536" s="205"/>
      <c r="S536" s="206"/>
      <c r="T536" s="206"/>
      <c r="U536" s="206"/>
      <c r="V536" s="206"/>
    </row>
    <row r="537" spans="15:22" ht="12.75">
      <c r="O537" s="206"/>
      <c r="P537" s="206"/>
      <c r="Q537" s="204"/>
      <c r="R537" s="205"/>
      <c r="S537" s="206"/>
      <c r="T537" s="206"/>
      <c r="U537" s="206"/>
      <c r="V537" s="206"/>
    </row>
    <row r="538" spans="15:22" ht="12.75">
      <c r="O538" s="206"/>
      <c r="P538" s="206"/>
      <c r="Q538" s="204"/>
      <c r="R538" s="205"/>
      <c r="S538" s="206"/>
      <c r="T538" s="206"/>
      <c r="U538" s="206"/>
      <c r="V538" s="206"/>
    </row>
    <row r="539" spans="15:22" ht="12.75">
      <c r="O539" s="206"/>
      <c r="P539" s="206"/>
      <c r="Q539" s="204"/>
      <c r="R539" s="205"/>
      <c r="S539" s="206"/>
      <c r="T539" s="206"/>
      <c r="U539" s="206"/>
      <c r="V539" s="206"/>
    </row>
    <row r="540" spans="15:22" ht="12.75">
      <c r="O540" s="206"/>
      <c r="P540" s="206"/>
      <c r="Q540" s="204"/>
      <c r="R540" s="205"/>
      <c r="S540" s="206"/>
      <c r="T540" s="206"/>
      <c r="U540" s="206"/>
      <c r="V540" s="206"/>
    </row>
    <row r="541" spans="15:22" ht="12.75">
      <c r="O541" s="206"/>
      <c r="P541" s="206"/>
      <c r="Q541" s="204"/>
      <c r="R541" s="205"/>
      <c r="S541" s="206"/>
      <c r="T541" s="206"/>
      <c r="U541" s="206"/>
      <c r="V541" s="206"/>
    </row>
    <row r="542" spans="15:22" ht="12.75">
      <c r="O542" s="206"/>
      <c r="P542" s="206"/>
      <c r="Q542" s="204"/>
      <c r="R542" s="205"/>
      <c r="S542" s="206"/>
      <c r="T542" s="206"/>
      <c r="U542" s="206"/>
      <c r="V542" s="206"/>
    </row>
    <row r="543" spans="15:22" ht="12.75">
      <c r="O543" s="206"/>
      <c r="P543" s="206"/>
      <c r="Q543" s="204"/>
      <c r="R543" s="205"/>
      <c r="S543" s="206"/>
      <c r="T543" s="206"/>
      <c r="U543" s="206"/>
      <c r="V543" s="206"/>
    </row>
    <row r="544" spans="15:22" ht="12.75">
      <c r="O544" s="206"/>
      <c r="P544" s="206"/>
      <c r="Q544" s="204"/>
      <c r="R544" s="205"/>
      <c r="S544" s="206"/>
      <c r="T544" s="206"/>
      <c r="U544" s="206"/>
      <c r="V544" s="206"/>
    </row>
    <row r="545" spans="15:22" ht="12.75">
      <c r="O545" s="206"/>
      <c r="P545" s="206"/>
      <c r="Q545" s="204"/>
      <c r="R545" s="205"/>
      <c r="S545" s="206"/>
      <c r="T545" s="206"/>
      <c r="U545" s="206"/>
      <c r="V545" s="206"/>
    </row>
    <row r="546" spans="15:22" ht="12.75">
      <c r="O546" s="206"/>
      <c r="P546" s="206"/>
      <c r="Q546" s="204"/>
      <c r="R546" s="205"/>
      <c r="S546" s="206"/>
      <c r="T546" s="206"/>
      <c r="U546" s="206"/>
      <c r="V546" s="206"/>
    </row>
    <row r="547" spans="15:22" ht="12.75">
      <c r="O547" s="206"/>
      <c r="P547" s="206"/>
      <c r="Q547" s="204"/>
      <c r="R547" s="205"/>
      <c r="S547" s="206"/>
      <c r="T547" s="206"/>
      <c r="U547" s="206"/>
      <c r="V547" s="206"/>
    </row>
    <row r="548" spans="15:22" ht="12.75">
      <c r="O548" s="206"/>
      <c r="P548" s="206"/>
      <c r="Q548" s="204"/>
      <c r="R548" s="205"/>
      <c r="S548" s="206"/>
      <c r="T548" s="206"/>
      <c r="U548" s="206"/>
      <c r="V548" s="206"/>
    </row>
    <row r="549" spans="15:22" ht="12.75">
      <c r="O549" s="206"/>
      <c r="P549" s="206"/>
      <c r="Q549" s="204"/>
      <c r="R549" s="205"/>
      <c r="S549" s="206"/>
      <c r="T549" s="206"/>
      <c r="U549" s="206"/>
      <c r="V549" s="206"/>
    </row>
    <row r="550" spans="15:22" ht="12.75">
      <c r="O550" s="206"/>
      <c r="P550" s="206"/>
      <c r="Q550" s="204"/>
      <c r="R550" s="205"/>
      <c r="S550" s="206"/>
      <c r="T550" s="206"/>
      <c r="U550" s="206"/>
      <c r="V550" s="206"/>
    </row>
    <row r="551" spans="15:22" ht="12.75">
      <c r="O551" s="206"/>
      <c r="P551" s="206"/>
      <c r="Q551" s="204"/>
      <c r="R551" s="205"/>
      <c r="S551" s="206"/>
      <c r="T551" s="206"/>
      <c r="U551" s="206"/>
      <c r="V551" s="206"/>
    </row>
    <row r="552" spans="15:22" ht="12.75">
      <c r="O552" s="206"/>
      <c r="P552" s="206"/>
      <c r="Q552" s="204"/>
      <c r="R552" s="205"/>
      <c r="S552" s="206"/>
      <c r="T552" s="206"/>
      <c r="U552" s="206"/>
      <c r="V552" s="206"/>
    </row>
    <row r="553" spans="15:22" ht="12.75">
      <c r="O553" s="206"/>
      <c r="P553" s="206"/>
      <c r="Q553" s="204"/>
      <c r="R553" s="205"/>
      <c r="S553" s="206"/>
      <c r="T553" s="206"/>
      <c r="U553" s="206"/>
      <c r="V553" s="206"/>
    </row>
    <row r="554" spans="15:22" ht="12.75">
      <c r="O554" s="206"/>
      <c r="P554" s="206"/>
      <c r="Q554" s="204"/>
      <c r="R554" s="205"/>
      <c r="S554" s="206"/>
      <c r="T554" s="206"/>
      <c r="U554" s="206"/>
      <c r="V554" s="206"/>
    </row>
    <row r="555" spans="15:22" ht="12.75">
      <c r="O555" s="206"/>
      <c r="P555" s="206"/>
      <c r="Q555" s="204"/>
      <c r="R555" s="205"/>
      <c r="S555" s="206"/>
      <c r="T555" s="206"/>
      <c r="U555" s="206"/>
      <c r="V555" s="206"/>
    </row>
    <row r="556" spans="15:22" ht="12.75">
      <c r="O556" s="206"/>
      <c r="P556" s="206"/>
      <c r="Q556" s="204"/>
      <c r="R556" s="205"/>
      <c r="S556" s="206"/>
      <c r="T556" s="206"/>
      <c r="U556" s="206"/>
      <c r="V556" s="206"/>
    </row>
    <row r="557" spans="15:22" ht="12.75">
      <c r="O557" s="206"/>
      <c r="P557" s="206"/>
      <c r="Q557" s="204"/>
      <c r="R557" s="205"/>
      <c r="S557" s="206"/>
      <c r="T557" s="206"/>
      <c r="U557" s="206"/>
      <c r="V557" s="206"/>
    </row>
    <row r="558" spans="15:22" ht="12.75">
      <c r="O558" s="206"/>
      <c r="P558" s="206"/>
      <c r="Q558" s="204"/>
      <c r="R558" s="205"/>
      <c r="S558" s="206"/>
      <c r="T558" s="206"/>
      <c r="U558" s="206"/>
      <c r="V558" s="206"/>
    </row>
    <row r="559" spans="15:22" ht="12.75">
      <c r="O559" s="206"/>
      <c r="P559" s="206"/>
      <c r="Q559" s="204"/>
      <c r="R559" s="205"/>
      <c r="S559" s="206"/>
      <c r="T559" s="206"/>
      <c r="U559" s="206"/>
      <c r="V559" s="206"/>
    </row>
    <row r="560" spans="15:22" ht="12.75">
      <c r="O560" s="206"/>
      <c r="P560" s="206"/>
      <c r="Q560" s="204"/>
      <c r="R560" s="205"/>
      <c r="S560" s="206"/>
      <c r="T560" s="206"/>
      <c r="U560" s="206"/>
      <c r="V560" s="206"/>
    </row>
    <row r="561" spans="15:22" ht="12.75">
      <c r="O561" s="206"/>
      <c r="P561" s="206"/>
      <c r="Q561" s="204"/>
      <c r="R561" s="205"/>
      <c r="S561" s="206"/>
      <c r="T561" s="206"/>
      <c r="U561" s="206"/>
      <c r="V561" s="206"/>
    </row>
    <row r="562" spans="15:22" ht="12.75">
      <c r="O562" s="206"/>
      <c r="P562" s="206"/>
      <c r="Q562" s="204"/>
      <c r="R562" s="205"/>
      <c r="S562" s="206"/>
      <c r="T562" s="206"/>
      <c r="U562" s="206"/>
      <c r="V562" s="206"/>
    </row>
    <row r="563" spans="15:22" ht="12.75">
      <c r="O563" s="206"/>
      <c r="P563" s="206"/>
      <c r="Q563" s="204"/>
      <c r="R563" s="205"/>
      <c r="S563" s="206"/>
      <c r="T563" s="206"/>
      <c r="U563" s="206"/>
      <c r="V563" s="206"/>
    </row>
    <row r="564" spans="15:22" ht="12.75">
      <c r="O564" s="206"/>
      <c r="P564" s="206"/>
      <c r="Q564" s="204"/>
      <c r="R564" s="205"/>
      <c r="S564" s="206"/>
      <c r="T564" s="206"/>
      <c r="U564" s="206"/>
      <c r="V564" s="206"/>
    </row>
    <row r="565" spans="15:22" ht="12.75">
      <c r="O565" s="206"/>
      <c r="P565" s="206"/>
      <c r="Q565" s="204"/>
      <c r="R565" s="205"/>
      <c r="S565" s="206"/>
      <c r="T565" s="206"/>
      <c r="U565" s="206"/>
      <c r="V565" s="206"/>
    </row>
    <row r="566" spans="15:22" ht="12.75">
      <c r="O566" s="206"/>
      <c r="P566" s="206"/>
      <c r="Q566" s="204"/>
      <c r="R566" s="205"/>
      <c r="S566" s="206"/>
      <c r="T566" s="206"/>
      <c r="U566" s="206"/>
      <c r="V566" s="206"/>
    </row>
    <row r="567" spans="15:22" ht="12.75">
      <c r="O567" s="206"/>
      <c r="P567" s="206"/>
      <c r="Q567" s="204"/>
      <c r="R567" s="205"/>
      <c r="S567" s="206"/>
      <c r="T567" s="206"/>
      <c r="U567" s="206"/>
      <c r="V567" s="206"/>
    </row>
    <row r="568" spans="15:22" ht="12.75">
      <c r="O568" s="206"/>
      <c r="P568" s="206"/>
      <c r="Q568" s="204"/>
      <c r="R568" s="205"/>
      <c r="S568" s="206"/>
      <c r="T568" s="206"/>
      <c r="U568" s="206"/>
      <c r="V568" s="206"/>
    </row>
    <row r="569" spans="15:22" ht="12.75">
      <c r="O569" s="206"/>
      <c r="P569" s="206"/>
      <c r="Q569" s="204"/>
      <c r="R569" s="205"/>
      <c r="S569" s="206"/>
      <c r="T569" s="206"/>
      <c r="U569" s="206"/>
      <c r="V569" s="206"/>
    </row>
    <row r="570" spans="15:22" ht="12.75">
      <c r="O570" s="206"/>
      <c r="P570" s="206"/>
      <c r="Q570" s="204"/>
      <c r="R570" s="205"/>
      <c r="S570" s="206"/>
      <c r="T570" s="206"/>
      <c r="U570" s="206"/>
      <c r="V570" s="206"/>
    </row>
    <row r="571" spans="15:22" ht="12.75">
      <c r="O571" s="206"/>
      <c r="P571" s="206"/>
      <c r="Q571" s="204"/>
      <c r="R571" s="205"/>
      <c r="S571" s="206"/>
      <c r="T571" s="206"/>
      <c r="U571" s="206"/>
      <c r="V571" s="206"/>
    </row>
    <row r="572" spans="15:22" ht="12.75">
      <c r="O572" s="206"/>
      <c r="P572" s="206"/>
      <c r="Q572" s="204"/>
      <c r="R572" s="205"/>
      <c r="S572" s="206"/>
      <c r="T572" s="206"/>
      <c r="U572" s="206"/>
      <c r="V572" s="206"/>
    </row>
    <row r="573" spans="15:22" ht="12.75">
      <c r="O573" s="206"/>
      <c r="P573" s="206"/>
      <c r="Q573" s="204"/>
      <c r="R573" s="205"/>
      <c r="S573" s="206"/>
      <c r="T573" s="206"/>
      <c r="U573" s="206"/>
      <c r="V573" s="206"/>
    </row>
    <row r="574" spans="15:22" ht="12.75">
      <c r="O574" s="206"/>
      <c r="P574" s="206"/>
      <c r="Q574" s="204"/>
      <c r="R574" s="205"/>
      <c r="S574" s="206"/>
      <c r="T574" s="206"/>
      <c r="U574" s="206"/>
      <c r="V574" s="206"/>
    </row>
    <row r="575" spans="15:22" ht="12.75">
      <c r="O575" s="206"/>
      <c r="P575" s="206"/>
      <c r="Q575" s="204"/>
      <c r="R575" s="205"/>
      <c r="S575" s="206"/>
      <c r="T575" s="206"/>
      <c r="U575" s="206"/>
      <c r="V575" s="206"/>
    </row>
    <row r="576" spans="15:22" ht="12.75">
      <c r="O576" s="206"/>
      <c r="P576" s="206"/>
      <c r="Q576" s="204"/>
      <c r="R576" s="205"/>
      <c r="S576" s="206"/>
      <c r="T576" s="206"/>
      <c r="U576" s="206"/>
      <c r="V576" s="206"/>
    </row>
    <row r="577" spans="15:22" ht="12.75">
      <c r="O577" s="206"/>
      <c r="P577" s="206"/>
      <c r="Q577" s="204"/>
      <c r="R577" s="205"/>
      <c r="S577" s="206"/>
      <c r="T577" s="206"/>
      <c r="U577" s="206"/>
      <c r="V577" s="206"/>
    </row>
    <row r="578" spans="15:22" ht="12.75">
      <c r="O578" s="206"/>
      <c r="P578" s="206"/>
      <c r="Q578" s="204"/>
      <c r="R578" s="205"/>
      <c r="S578" s="206"/>
      <c r="T578" s="206"/>
      <c r="U578" s="206"/>
      <c r="V578" s="206"/>
    </row>
    <row r="579" spans="15:22" ht="12.75">
      <c r="O579" s="206"/>
      <c r="P579" s="206"/>
      <c r="Q579" s="204"/>
      <c r="R579" s="205"/>
      <c r="S579" s="206"/>
      <c r="T579" s="206"/>
      <c r="U579" s="206"/>
      <c r="V579" s="206"/>
    </row>
    <row r="580" spans="15:22" ht="12.75">
      <c r="O580" s="206"/>
      <c r="P580" s="206"/>
      <c r="Q580" s="204"/>
      <c r="R580" s="205"/>
      <c r="S580" s="206"/>
      <c r="T580" s="206"/>
      <c r="U580" s="206"/>
      <c r="V580" s="206"/>
    </row>
    <row r="581" spans="15:22" ht="12.75">
      <c r="O581" s="206"/>
      <c r="P581" s="206"/>
      <c r="Q581" s="204"/>
      <c r="R581" s="205"/>
      <c r="S581" s="206"/>
      <c r="T581" s="206"/>
      <c r="U581" s="206"/>
      <c r="V581" s="206"/>
    </row>
    <row r="582" spans="15:22" ht="12.75">
      <c r="O582" s="206"/>
      <c r="P582" s="206"/>
      <c r="Q582" s="204"/>
      <c r="R582" s="205"/>
      <c r="S582" s="206"/>
      <c r="T582" s="206"/>
      <c r="U582" s="206"/>
      <c r="V582" s="206"/>
    </row>
    <row r="583" spans="15:22" ht="12.75">
      <c r="O583" s="206"/>
      <c r="P583" s="206"/>
      <c r="Q583" s="204"/>
      <c r="R583" s="205"/>
      <c r="S583" s="206"/>
      <c r="T583" s="206"/>
      <c r="U583" s="206"/>
      <c r="V583" s="206"/>
    </row>
    <row r="584" spans="15:22" ht="12.75">
      <c r="O584" s="206"/>
      <c r="P584" s="206"/>
      <c r="Q584" s="204"/>
      <c r="R584" s="205"/>
      <c r="S584" s="206"/>
      <c r="T584" s="206"/>
      <c r="U584" s="206"/>
      <c r="V584" s="206"/>
    </row>
    <row r="585" spans="15:22" ht="12.75">
      <c r="O585" s="206"/>
      <c r="P585" s="206"/>
      <c r="Q585" s="204"/>
      <c r="R585" s="205"/>
      <c r="S585" s="206"/>
      <c r="T585" s="206"/>
      <c r="U585" s="206"/>
      <c r="V585" s="206"/>
    </row>
    <row r="586" spans="15:22" ht="12.75">
      <c r="O586" s="206"/>
      <c r="P586" s="206"/>
      <c r="Q586" s="204"/>
      <c r="R586" s="205"/>
      <c r="S586" s="206"/>
      <c r="T586" s="206"/>
      <c r="U586" s="206"/>
      <c r="V586" s="206"/>
    </row>
    <row r="587" spans="15:22" ht="12.75">
      <c r="O587" s="206"/>
      <c r="P587" s="206"/>
      <c r="Q587" s="204"/>
      <c r="R587" s="205"/>
      <c r="S587" s="206"/>
      <c r="T587" s="206"/>
      <c r="U587" s="206"/>
      <c r="V587" s="206"/>
    </row>
    <row r="588" spans="15:22" ht="12.75">
      <c r="O588" s="206"/>
      <c r="P588" s="206"/>
      <c r="Q588" s="204"/>
      <c r="R588" s="205"/>
      <c r="S588" s="206"/>
      <c r="T588" s="206"/>
      <c r="U588" s="206"/>
      <c r="V588" s="206"/>
    </row>
    <row r="589" spans="15:22" ht="12.75">
      <c r="O589" s="206"/>
      <c r="P589" s="206"/>
      <c r="Q589" s="204"/>
      <c r="R589" s="205"/>
      <c r="S589" s="206"/>
      <c r="T589" s="206"/>
      <c r="U589" s="206"/>
      <c r="V589" s="206"/>
    </row>
    <row r="590" spans="15:22" ht="12.75">
      <c r="O590" s="206"/>
      <c r="P590" s="206"/>
      <c r="Q590" s="204"/>
      <c r="R590" s="205"/>
      <c r="S590" s="206"/>
      <c r="T590" s="206"/>
      <c r="U590" s="206"/>
      <c r="V590" s="206"/>
    </row>
    <row r="591" spans="15:22" ht="12.75">
      <c r="O591" s="206"/>
      <c r="P591" s="206"/>
      <c r="Q591" s="204"/>
      <c r="R591" s="205"/>
      <c r="S591" s="206"/>
      <c r="T591" s="206"/>
      <c r="U591" s="206"/>
      <c r="V591" s="206"/>
    </row>
    <row r="592" spans="15:22" ht="12.75">
      <c r="O592" s="206"/>
      <c r="P592" s="206"/>
      <c r="Q592" s="204"/>
      <c r="R592" s="205"/>
      <c r="S592" s="206"/>
      <c r="T592" s="206"/>
      <c r="U592" s="206"/>
      <c r="V592" s="206"/>
    </row>
    <row r="593" spans="15:22" ht="12.75">
      <c r="O593" s="206"/>
      <c r="P593" s="206"/>
      <c r="Q593" s="204"/>
      <c r="R593" s="205"/>
      <c r="S593" s="206"/>
      <c r="T593" s="206"/>
      <c r="U593" s="206"/>
      <c r="V593" s="206"/>
    </row>
    <row r="594" spans="15:22" ht="12.75">
      <c r="O594" s="206"/>
      <c r="P594" s="206"/>
      <c r="Q594" s="204"/>
      <c r="R594" s="205"/>
      <c r="S594" s="206"/>
      <c r="T594" s="206"/>
      <c r="U594" s="206"/>
      <c r="V594" s="206"/>
    </row>
    <row r="595" spans="15:22" ht="12.75">
      <c r="O595" s="206"/>
      <c r="P595" s="206"/>
      <c r="Q595" s="204"/>
      <c r="R595" s="205"/>
      <c r="S595" s="206"/>
      <c r="T595" s="206"/>
      <c r="U595" s="206"/>
      <c r="V595" s="206"/>
    </row>
    <row r="596" spans="15:22" ht="12.75">
      <c r="O596" s="206"/>
      <c r="P596" s="206"/>
      <c r="Q596" s="204"/>
      <c r="R596" s="205"/>
      <c r="S596" s="206"/>
      <c r="T596" s="206"/>
      <c r="U596" s="206"/>
      <c r="V596" s="206"/>
    </row>
    <row r="597" spans="15:22" ht="12.75">
      <c r="O597" s="206"/>
      <c r="P597" s="206"/>
      <c r="Q597" s="204"/>
      <c r="R597" s="205"/>
      <c r="S597" s="206"/>
      <c r="T597" s="206"/>
      <c r="U597" s="206"/>
      <c r="V597" s="206"/>
    </row>
    <row r="598" spans="15:22" ht="12.75">
      <c r="O598" s="206"/>
      <c r="P598" s="206"/>
      <c r="Q598" s="204"/>
      <c r="R598" s="205"/>
      <c r="S598" s="206"/>
      <c r="T598" s="206"/>
      <c r="U598" s="206"/>
      <c r="V598" s="206"/>
    </row>
    <row r="599" spans="15:22" ht="12.75">
      <c r="O599" s="206"/>
      <c r="P599" s="206"/>
      <c r="Q599" s="204"/>
      <c r="R599" s="205"/>
      <c r="S599" s="206"/>
      <c r="T599" s="206"/>
      <c r="U599" s="206"/>
      <c r="V599" s="206"/>
    </row>
    <row r="600" spans="15:22" ht="12.75">
      <c r="O600" s="206"/>
      <c r="P600" s="206"/>
      <c r="Q600" s="204"/>
      <c r="R600" s="205"/>
      <c r="S600" s="206"/>
      <c r="T600" s="206"/>
      <c r="U600" s="206"/>
      <c r="V600" s="206"/>
    </row>
    <row r="601" spans="15:22" ht="12.75">
      <c r="O601" s="206"/>
      <c r="P601" s="206"/>
      <c r="Q601" s="204"/>
      <c r="R601" s="205"/>
      <c r="S601" s="206"/>
      <c r="T601" s="206"/>
      <c r="U601" s="206"/>
      <c r="V601" s="206"/>
    </row>
    <row r="602" spans="15:22" ht="12.75">
      <c r="O602" s="206"/>
      <c r="P602" s="206"/>
      <c r="Q602" s="204"/>
      <c r="R602" s="205"/>
      <c r="S602" s="206"/>
      <c r="T602" s="206"/>
      <c r="U602" s="206"/>
      <c r="V602" s="206"/>
    </row>
    <row r="603" spans="15:22" ht="12.75">
      <c r="O603" s="206"/>
      <c r="P603" s="206"/>
      <c r="Q603" s="204"/>
      <c r="R603" s="205"/>
      <c r="S603" s="206"/>
      <c r="T603" s="206"/>
      <c r="U603" s="206"/>
      <c r="V603" s="206"/>
    </row>
    <row r="604" spans="15:22" ht="12.75">
      <c r="O604" s="206"/>
      <c r="P604" s="206"/>
      <c r="Q604" s="204"/>
      <c r="R604" s="205"/>
      <c r="S604" s="206"/>
      <c r="T604" s="206"/>
      <c r="U604" s="206"/>
      <c r="V604" s="206"/>
    </row>
    <row r="605" spans="15:22" ht="12.75">
      <c r="O605" s="206"/>
      <c r="P605" s="206"/>
      <c r="Q605" s="204"/>
      <c r="R605" s="205"/>
      <c r="S605" s="206"/>
      <c r="T605" s="206"/>
      <c r="U605" s="206"/>
      <c r="V605" s="206"/>
    </row>
    <row r="606" spans="15:22" ht="12.75">
      <c r="O606" s="206"/>
      <c r="P606" s="206"/>
      <c r="Q606" s="204"/>
      <c r="R606" s="205"/>
      <c r="S606" s="206"/>
      <c r="T606" s="206"/>
      <c r="U606" s="206"/>
      <c r="V606" s="206"/>
    </row>
    <row r="607" spans="15:22" ht="12.75">
      <c r="O607" s="206"/>
      <c r="P607" s="206"/>
      <c r="Q607" s="204"/>
      <c r="R607" s="205"/>
      <c r="S607" s="206"/>
      <c r="T607" s="206"/>
      <c r="U607" s="206"/>
      <c r="V607" s="206"/>
    </row>
    <row r="608" spans="15:22" ht="12.75">
      <c r="O608" s="206"/>
      <c r="P608" s="206"/>
      <c r="Q608" s="204"/>
      <c r="R608" s="205"/>
      <c r="S608" s="206"/>
      <c r="T608" s="206"/>
      <c r="U608" s="206"/>
      <c r="V608" s="206"/>
    </row>
    <row r="609" spans="15:22" ht="12.75">
      <c r="O609" s="206"/>
      <c r="P609" s="206"/>
      <c r="Q609" s="204"/>
      <c r="R609" s="205"/>
      <c r="S609" s="206"/>
      <c r="T609" s="206"/>
      <c r="U609" s="206"/>
      <c r="V609" s="206"/>
    </row>
    <row r="610" spans="15:22" ht="12.75">
      <c r="O610" s="206"/>
      <c r="P610" s="206"/>
      <c r="Q610" s="204"/>
      <c r="R610" s="205"/>
      <c r="S610" s="206"/>
      <c r="T610" s="206"/>
      <c r="U610" s="206"/>
      <c r="V610" s="206"/>
    </row>
    <row r="611" spans="15:22" ht="12.75">
      <c r="O611" s="206"/>
      <c r="P611" s="206"/>
      <c r="Q611" s="204"/>
      <c r="R611" s="205"/>
      <c r="S611" s="206"/>
      <c r="T611" s="206"/>
      <c r="U611" s="206"/>
      <c r="V611" s="206"/>
    </row>
    <row r="612" spans="15:22" ht="12.75">
      <c r="O612" s="206"/>
      <c r="P612" s="206"/>
      <c r="Q612" s="204"/>
      <c r="R612" s="205"/>
      <c r="S612" s="206"/>
      <c r="T612" s="206"/>
      <c r="U612" s="206"/>
      <c r="V612" s="206"/>
    </row>
    <row r="613" spans="15:22" ht="12.75">
      <c r="O613" s="206"/>
      <c r="P613" s="206"/>
      <c r="Q613" s="204"/>
      <c r="R613" s="205"/>
      <c r="S613" s="206"/>
      <c r="T613" s="206"/>
      <c r="U613" s="206"/>
      <c r="V613" s="206"/>
    </row>
    <row r="614" spans="15:22" ht="12.75">
      <c r="O614" s="206"/>
      <c r="P614" s="206"/>
      <c r="Q614" s="204"/>
      <c r="R614" s="205"/>
      <c r="S614" s="206"/>
      <c r="T614" s="206"/>
      <c r="U614" s="206"/>
      <c r="V614" s="206"/>
    </row>
    <row r="615" spans="15:22" ht="12.75">
      <c r="O615" s="206"/>
      <c r="P615" s="206"/>
      <c r="Q615" s="204"/>
      <c r="R615" s="205"/>
      <c r="S615" s="206"/>
      <c r="T615" s="206"/>
      <c r="U615" s="206"/>
      <c r="V615" s="206"/>
    </row>
    <row r="616" spans="15:22" ht="12.75">
      <c r="O616" s="206"/>
      <c r="P616" s="206"/>
      <c r="Q616" s="204"/>
      <c r="R616" s="205"/>
      <c r="S616" s="206"/>
      <c r="T616" s="206"/>
      <c r="U616" s="206"/>
      <c r="V616" s="206"/>
    </row>
    <row r="617" spans="15:22" ht="12.75">
      <c r="O617" s="206"/>
      <c r="P617" s="206"/>
      <c r="Q617" s="204"/>
      <c r="R617" s="205"/>
      <c r="S617" s="206"/>
      <c r="T617" s="206"/>
      <c r="U617" s="206"/>
      <c r="V617" s="206"/>
    </row>
    <row r="618" spans="15:22" ht="12.75">
      <c r="O618" s="206"/>
      <c r="P618" s="206"/>
      <c r="Q618" s="204"/>
      <c r="R618" s="205"/>
      <c r="S618" s="206"/>
      <c r="T618" s="206"/>
      <c r="U618" s="206"/>
      <c r="V618" s="206"/>
    </row>
    <row r="619" spans="15:22" ht="12.75">
      <c r="O619" s="206"/>
      <c r="P619" s="206"/>
      <c r="Q619" s="204"/>
      <c r="R619" s="205"/>
      <c r="S619" s="206"/>
      <c r="T619" s="206"/>
      <c r="U619" s="206"/>
      <c r="V619" s="206"/>
    </row>
    <row r="620" spans="15:22" ht="12.75">
      <c r="O620" s="206"/>
      <c r="P620" s="206"/>
      <c r="Q620" s="204"/>
      <c r="R620" s="205"/>
      <c r="S620" s="206"/>
      <c r="T620" s="206"/>
      <c r="U620" s="206"/>
      <c r="V620" s="206"/>
    </row>
    <row r="621" spans="15:22" ht="12.75">
      <c r="O621" s="206"/>
      <c r="P621" s="206"/>
      <c r="Q621" s="204"/>
      <c r="R621" s="205"/>
      <c r="S621" s="206"/>
      <c r="T621" s="206"/>
      <c r="U621" s="206"/>
      <c r="V621" s="206"/>
    </row>
    <row r="622" spans="15:22" ht="15.75" customHeight="1">
      <c r="O622" s="206"/>
      <c r="P622" s="206"/>
      <c r="Q622" s="204"/>
      <c r="R622" s="205"/>
      <c r="S622" s="206"/>
      <c r="T622" s="206"/>
      <c r="U622" s="206"/>
      <c r="V622" s="206"/>
    </row>
    <row r="623" spans="15:22" ht="15.75" customHeight="1">
      <c r="O623" s="206"/>
      <c r="P623" s="206"/>
      <c r="Q623" s="204"/>
      <c r="R623" s="205"/>
      <c r="S623" s="206"/>
      <c r="T623" s="206"/>
      <c r="U623" s="206"/>
      <c r="V623" s="206"/>
    </row>
    <row r="624" spans="15:22" ht="15.75" customHeight="1">
      <c r="O624" s="206"/>
      <c r="P624" s="206"/>
      <c r="Q624" s="204"/>
      <c r="R624" s="205"/>
      <c r="S624" s="206"/>
      <c r="T624" s="206"/>
      <c r="U624" s="206"/>
      <c r="V624" s="206"/>
    </row>
  </sheetData>
  <mergeCells count="1">
    <mergeCell ref="O1:V1"/>
  </mergeCells>
  <dataValidations count="1">
    <dataValidation type="list" allowBlank="1" showErrorMessage="1" sqref="R2:R118 Q2:Q621" xr:uid="{00000000-0002-0000-0500-000002000000}">
      <formula1>#REF!</formula1>
    </dataValidation>
  </dataValidations>
  <pageMargins left="0" right="0" top="0" bottom="0" header="0" footer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0000000}">
          <x14:formula1>
            <xm:f>Geral!$D$4:$D$57</xm:f>
          </x14:formula1>
          <xm:sqref>O2:O621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>
    <outlinePr summaryBelow="0" summaryRight="0"/>
  </sheetPr>
  <dimension ref="A1:N614"/>
  <sheetViews>
    <sheetView topLeftCell="B559" workbookViewId="0">
      <selection activeCell="E577" sqref="E577"/>
    </sheetView>
  </sheetViews>
  <sheetFormatPr defaultColWidth="12.5703125" defaultRowHeight="15.75" customHeight="1"/>
  <cols>
    <col min="1" max="1" width="14.7109375" customWidth="1"/>
    <col min="2" max="2" width="30.5703125" customWidth="1"/>
    <col min="3" max="3" width="15.5703125" customWidth="1"/>
    <col min="4" max="4" width="25.42578125" style="242" customWidth="1"/>
    <col min="5" max="5" width="22.28515625" customWidth="1"/>
    <col min="6" max="6" width="13.42578125" customWidth="1"/>
    <col min="7" max="7" width="19.42578125" customWidth="1"/>
    <col min="8" max="8" width="22.42578125" customWidth="1"/>
    <col min="9" max="9" width="17.7109375" bestFit="1" customWidth="1"/>
    <col min="10" max="10" width="23.140625" bestFit="1" customWidth="1"/>
    <col min="11" max="11" width="29.28515625" bestFit="1" customWidth="1"/>
    <col min="12" max="12" width="28.42578125" style="242" customWidth="1"/>
    <col min="13" max="13" width="35.28515625" style="242" bestFit="1" customWidth="1"/>
  </cols>
  <sheetData>
    <row r="1" spans="1:14" ht="90" customHeight="1">
      <c r="A1" s="248" t="s">
        <v>1649</v>
      </c>
      <c r="B1" s="221" t="s">
        <v>1650</v>
      </c>
      <c r="C1" s="249" t="s">
        <v>1651</v>
      </c>
      <c r="D1" s="250"/>
      <c r="E1" s="219"/>
      <c r="F1" s="219"/>
      <c r="G1" s="219"/>
      <c r="H1" s="219"/>
      <c r="I1" s="219"/>
      <c r="J1" s="219"/>
      <c r="K1" s="219"/>
      <c r="L1" s="241"/>
      <c r="M1" s="241"/>
      <c r="N1" s="53"/>
    </row>
    <row r="2" spans="1:14" ht="14.25">
      <c r="A2" s="437"/>
      <c r="B2" s="55"/>
      <c r="C2" s="53"/>
      <c r="F2" s="438" t="s">
        <v>1652</v>
      </c>
      <c r="G2" s="439"/>
      <c r="H2" s="439"/>
      <c r="I2" s="440"/>
      <c r="J2" s="444" t="s">
        <v>1653</v>
      </c>
      <c r="K2" s="439"/>
      <c r="L2" s="439"/>
      <c r="M2" s="440"/>
      <c r="N2" s="53"/>
    </row>
    <row r="3" spans="1:14">
      <c r="A3" s="370"/>
      <c r="B3" s="55"/>
      <c r="C3" s="53"/>
      <c r="D3" s="56"/>
      <c r="E3" s="57"/>
      <c r="F3" s="441"/>
      <c r="G3" s="442"/>
      <c r="H3" s="442"/>
      <c r="I3" s="443"/>
      <c r="J3" s="441"/>
      <c r="K3" s="442"/>
      <c r="L3" s="442"/>
      <c r="M3" s="443"/>
      <c r="N3" s="53"/>
    </row>
    <row r="4" spans="1:14">
      <c r="A4" s="58" t="s">
        <v>140</v>
      </c>
      <c r="B4" s="1" t="s">
        <v>1654</v>
      </c>
      <c r="C4" s="59" t="s">
        <v>1655</v>
      </c>
      <c r="D4" s="56" t="s">
        <v>1656</v>
      </c>
      <c r="E4" s="57" t="s">
        <v>1404</v>
      </c>
      <c r="F4" s="60" t="s">
        <v>1657</v>
      </c>
      <c r="G4" s="60" t="s">
        <v>1658</v>
      </c>
      <c r="H4" s="60" t="s">
        <v>1659</v>
      </c>
      <c r="I4" s="60" t="s">
        <v>1660</v>
      </c>
      <c r="J4" s="61" t="s">
        <v>1657</v>
      </c>
      <c r="K4" s="61" t="s">
        <v>1658</v>
      </c>
      <c r="L4" s="61" t="s">
        <v>1659</v>
      </c>
      <c r="M4" s="61" t="s">
        <v>1660</v>
      </c>
      <c r="N4" s="59"/>
    </row>
    <row r="5" spans="1:14" ht="14.25">
      <c r="A5" s="445" t="str">
        <f ca="1">IFERROR(__xludf.DUMMYFUNCTION("IMPORTRANGE(""1yxvnKk2gGDNIuz1R2GHLCP8UcRSEEAymvl41zLhKjMs"",""Geral!C4"")"),"BM24")</f>
        <v>BM24</v>
      </c>
      <c r="B5" s="62" t="str">
        <f ca="1">IFERROR(__xludf.DUMMYFUNCTION("IMPORTRANGE(""1yxvnKk2gGDNIuz1R2GHLCP8UcRSEEAymvl41zLhKjMs"",""Geral!D4"")"),"Biblioteca Adelpha Figueiredo")</f>
        <v>Biblioteca Adelpha Figueiredo</v>
      </c>
      <c r="C5" s="63"/>
      <c r="D5" s="64" t="s">
        <v>1661</v>
      </c>
      <c r="E5" s="64" t="s">
        <v>1662</v>
      </c>
      <c r="F5" s="64" t="s">
        <v>1663</v>
      </c>
      <c r="G5" s="65" t="s">
        <v>1664</v>
      </c>
      <c r="H5" s="65" t="s">
        <v>1665</v>
      </c>
      <c r="I5" s="65" t="s">
        <v>1666</v>
      </c>
      <c r="J5" s="65" t="s">
        <v>1667</v>
      </c>
      <c r="K5" s="65" t="s">
        <v>1668</v>
      </c>
      <c r="L5" s="65" t="s">
        <v>1669</v>
      </c>
      <c r="M5" s="65" t="s">
        <v>1670</v>
      </c>
      <c r="N5" s="63">
        <f ca="1">IFERROR(__xludf.DUMMYFUNCTION("IMPORTRANGE(""1yxvnKk2gGDNIuz1R2GHLCP8UcRSEEAymvl41zLhKjMs"",""Impressoras!C3"")"),1)</f>
        <v>1</v>
      </c>
    </row>
    <row r="6" spans="1:14" ht="14.25">
      <c r="A6" s="446"/>
      <c r="B6" s="62" t="str">
        <f ca="1">IFERROR(__xludf.DUMMYFUNCTION("IMPORTRANGE(""1yxvnKk2gGDNIuz1R2GHLCP8UcRSEEAymvl41zLhKjMs"",""Geral!D4"")"),"Biblioteca Adelpha Figueiredo")</f>
        <v>Biblioteca Adelpha Figueiredo</v>
      </c>
      <c r="C6" s="63"/>
      <c r="D6" s="64" t="s">
        <v>1671</v>
      </c>
      <c r="E6" s="64" t="s">
        <v>1672</v>
      </c>
      <c r="F6" s="64" t="s">
        <v>1673</v>
      </c>
      <c r="G6" s="65" t="s">
        <v>1674</v>
      </c>
      <c r="H6" s="65" t="s">
        <v>1675</v>
      </c>
      <c r="I6" s="65" t="s">
        <v>1676</v>
      </c>
      <c r="J6" s="65" t="s">
        <v>1673</v>
      </c>
      <c r="K6" s="65" t="s">
        <v>1677</v>
      </c>
      <c r="L6" s="65" t="s">
        <v>1678</v>
      </c>
      <c r="M6" s="65" t="s">
        <v>1679</v>
      </c>
      <c r="N6" s="63"/>
    </row>
    <row r="7" spans="1:14" ht="14.25">
      <c r="A7" s="446"/>
      <c r="B7" s="62" t="str">
        <f ca="1">IFERROR(__xludf.DUMMYFUNCTION("IMPORTRANGE(""1yxvnKk2gGDNIuz1R2GHLCP8UcRSEEAymvl41zLhKjMs"",""Geral!D4"")"),"Biblioteca Adelpha Figueiredo")</f>
        <v>Biblioteca Adelpha Figueiredo</v>
      </c>
      <c r="C7" s="63"/>
      <c r="D7" s="64" t="s">
        <v>1680</v>
      </c>
      <c r="E7" s="64" t="s">
        <v>1681</v>
      </c>
      <c r="F7" s="64" t="s">
        <v>1682</v>
      </c>
      <c r="G7" s="65" t="s">
        <v>1683</v>
      </c>
      <c r="H7" s="65" t="s">
        <v>1684</v>
      </c>
      <c r="I7" s="65" t="s">
        <v>1685</v>
      </c>
      <c r="J7" s="65" t="s">
        <v>1682</v>
      </c>
      <c r="K7" s="65" t="s">
        <v>1686</v>
      </c>
      <c r="L7" s="65">
        <v>11017882</v>
      </c>
      <c r="M7" s="65" t="s">
        <v>1687</v>
      </c>
      <c r="N7" s="63"/>
    </row>
    <row r="8" spans="1:14" ht="14.25">
      <c r="A8" s="446"/>
      <c r="B8" s="62" t="str">
        <f ca="1">IFERROR(__xludf.DUMMYFUNCTION("IMPORTRANGE(""1yxvnKk2gGDNIuz1R2GHLCP8UcRSEEAymvl41zLhKjMs"",""Geral!D4"")"),"Biblioteca Adelpha Figueiredo")</f>
        <v>Biblioteca Adelpha Figueiredo</v>
      </c>
      <c r="C8" s="63"/>
      <c r="D8" s="64" t="s">
        <v>1688</v>
      </c>
      <c r="E8" s="64" t="s">
        <v>1689</v>
      </c>
      <c r="F8" s="64" t="s">
        <v>1673</v>
      </c>
      <c r="G8" s="65" t="s">
        <v>1674</v>
      </c>
      <c r="H8" s="65" t="s">
        <v>1690</v>
      </c>
      <c r="I8" s="65" t="s">
        <v>1691</v>
      </c>
      <c r="J8" s="65" t="s">
        <v>1673</v>
      </c>
      <c r="K8" s="65" t="s">
        <v>1677</v>
      </c>
      <c r="L8" s="65" t="s">
        <v>1692</v>
      </c>
      <c r="M8" s="65" t="s">
        <v>1693</v>
      </c>
      <c r="N8" s="63"/>
    </row>
    <row r="9" spans="1:14" ht="14.25">
      <c r="A9" s="446"/>
      <c r="B9" s="62" t="str">
        <f ca="1">IFERROR(__xludf.DUMMYFUNCTION("IMPORTRANGE(""1yxvnKk2gGDNIuz1R2GHLCP8UcRSEEAymvl41zLhKjMs"",""Geral!D4"")"),"Biblioteca Adelpha Figueiredo")</f>
        <v>Biblioteca Adelpha Figueiredo</v>
      </c>
      <c r="C9" s="63"/>
      <c r="D9" s="64" t="s">
        <v>1694</v>
      </c>
      <c r="E9" s="64" t="s">
        <v>1695</v>
      </c>
      <c r="F9" s="64" t="s">
        <v>1673</v>
      </c>
      <c r="G9" s="65" t="s">
        <v>1674</v>
      </c>
      <c r="H9" s="65" t="s">
        <v>1696</v>
      </c>
      <c r="I9" s="65" t="s">
        <v>1697</v>
      </c>
      <c r="J9" s="65" t="s">
        <v>1673</v>
      </c>
      <c r="K9" s="65" t="s">
        <v>1677</v>
      </c>
      <c r="L9" s="65" t="s">
        <v>1698</v>
      </c>
      <c r="M9" s="65" t="s">
        <v>1699</v>
      </c>
      <c r="N9" s="63"/>
    </row>
    <row r="10" spans="1:14" ht="14.25">
      <c r="A10" s="446"/>
      <c r="B10" s="62" t="str">
        <f ca="1">IFERROR(__xludf.DUMMYFUNCTION("IMPORTRANGE(""1yxvnKk2gGDNIuz1R2GHLCP8UcRSEEAymvl41zLhKjMs"",""Geral!D4"")"),"Biblioteca Adelpha Figueiredo")</f>
        <v>Biblioteca Adelpha Figueiredo</v>
      </c>
      <c r="C10" s="63"/>
      <c r="D10" s="64" t="s">
        <v>1700</v>
      </c>
      <c r="E10" s="64" t="s">
        <v>1701</v>
      </c>
      <c r="F10" s="64" t="s">
        <v>1673</v>
      </c>
      <c r="G10" s="65" t="s">
        <v>1674</v>
      </c>
      <c r="H10" s="65" t="s">
        <v>1702</v>
      </c>
      <c r="I10" s="65" t="s">
        <v>1703</v>
      </c>
      <c r="J10" s="65" t="s">
        <v>1673</v>
      </c>
      <c r="K10" s="65" t="s">
        <v>1704</v>
      </c>
      <c r="L10" s="65" t="s">
        <v>1705</v>
      </c>
      <c r="M10" s="65" t="s">
        <v>1706</v>
      </c>
      <c r="N10" s="63"/>
    </row>
    <row r="11" spans="1:14" ht="14.25">
      <c r="A11" s="446"/>
      <c r="B11" s="62" t="str">
        <f ca="1">IFERROR(__xludf.DUMMYFUNCTION("IMPORTRANGE(""1yxvnKk2gGDNIuz1R2GHLCP8UcRSEEAymvl41zLhKjMs"",""Geral!D4"")"),"Biblioteca Adelpha Figueiredo")</f>
        <v>Biblioteca Adelpha Figueiredo</v>
      </c>
      <c r="C11" s="63"/>
      <c r="D11" s="64"/>
      <c r="E11" s="64"/>
      <c r="F11" s="66"/>
      <c r="G11" s="67"/>
      <c r="H11" s="67"/>
      <c r="I11" s="67"/>
      <c r="J11" s="67"/>
      <c r="K11" s="67"/>
      <c r="L11" s="65"/>
      <c r="M11" s="65"/>
      <c r="N11" s="63"/>
    </row>
    <row r="12" spans="1:14" ht="14.25">
      <c r="A12" s="446"/>
      <c r="B12" s="62" t="str">
        <f ca="1">IFERROR(__xludf.DUMMYFUNCTION("IMPORTRANGE(""1yxvnKk2gGDNIuz1R2GHLCP8UcRSEEAymvl41zLhKjMs"",""Geral!D4"")"),"Biblioteca Adelpha Figueiredo")</f>
        <v>Biblioteca Adelpha Figueiredo</v>
      </c>
      <c r="C12" s="63"/>
      <c r="D12" s="64"/>
      <c r="E12" s="64"/>
      <c r="F12" s="66"/>
      <c r="G12" s="67"/>
      <c r="H12" s="67"/>
      <c r="I12" s="67"/>
      <c r="J12" s="67"/>
      <c r="K12" s="67"/>
      <c r="L12" s="65"/>
      <c r="M12" s="65"/>
      <c r="N12" s="63"/>
    </row>
    <row r="13" spans="1:14" ht="14.25">
      <c r="A13" s="54"/>
      <c r="B13" s="62" t="str">
        <f ca="1">IFERROR(__xludf.DUMMYFUNCTION("IMPORTRANGE(""1yxvnKk2gGDNIuz1R2GHLCP8UcRSEEAymvl41zLhKjMs"",""Geral!D4"")"),"Biblioteca Adelpha Figueiredo")</f>
        <v>Biblioteca Adelpha Figueiredo</v>
      </c>
      <c r="C13" s="63"/>
      <c r="D13" s="64"/>
      <c r="E13" s="64"/>
      <c r="F13" s="66"/>
      <c r="G13" s="67"/>
      <c r="H13" s="67"/>
      <c r="I13" s="67"/>
      <c r="J13" s="67"/>
      <c r="K13" s="67"/>
      <c r="L13" s="65"/>
      <c r="M13" s="65"/>
      <c r="N13" s="63"/>
    </row>
    <row r="14" spans="1:14" ht="14.25">
      <c r="A14" s="437" t="str">
        <f ca="1">IFERROR(__xludf.DUMMYFUNCTION("IMPORTRANGE(""1yxvnKk2gGDNIuz1R2GHLCP8UcRSEEAymvl41zLhKjMs"",""Geral!C5"")"),"BM27")</f>
        <v>BM27</v>
      </c>
      <c r="B14" s="112" t="str">
        <f ca="1">IFERROR(__xludf.DUMMYFUNCTION("IMPORTRANGE(""1yxvnKk2gGDNIuz1R2GHLCP8UcRSEEAymvl41zLhKjMs"",""Geral!D5"")"),"Biblioteca Afonso Schmidt")</f>
        <v>Biblioteca Afonso Schmidt</v>
      </c>
      <c r="C14" s="63"/>
      <c r="D14" s="64" t="s">
        <v>1707</v>
      </c>
      <c r="E14" s="64" t="s">
        <v>1708</v>
      </c>
      <c r="F14" s="64" t="s">
        <v>1673</v>
      </c>
      <c r="G14" s="65" t="s">
        <v>1674</v>
      </c>
      <c r="H14" s="65" t="s">
        <v>1709</v>
      </c>
      <c r="I14" s="65" t="s">
        <v>1710</v>
      </c>
      <c r="J14" s="65" t="s">
        <v>1673</v>
      </c>
      <c r="K14" s="65" t="s">
        <v>1677</v>
      </c>
      <c r="L14" s="65" t="s">
        <v>1711</v>
      </c>
      <c r="M14" s="65" t="s">
        <v>1712</v>
      </c>
      <c r="N14" s="63"/>
    </row>
    <row r="15" spans="1:14" ht="14.25">
      <c r="A15" s="370"/>
      <c r="B15" s="112" t="str">
        <f ca="1">IFERROR(__xludf.DUMMYFUNCTION("IMPORTRANGE(""1yxvnKk2gGDNIuz1R2GHLCP8UcRSEEAymvl41zLhKjMs"",""Geral!D5"")"),"Biblioteca Afonso Schmidt")</f>
        <v>Biblioteca Afonso Schmidt</v>
      </c>
      <c r="C15" s="63"/>
      <c r="D15" s="64" t="s">
        <v>1713</v>
      </c>
      <c r="E15" s="64" t="s">
        <v>1714</v>
      </c>
      <c r="F15" s="64" t="s">
        <v>1673</v>
      </c>
      <c r="G15" s="65" t="s">
        <v>1674</v>
      </c>
      <c r="H15" s="65" t="s">
        <v>1715</v>
      </c>
      <c r="I15" s="65" t="s">
        <v>1716</v>
      </c>
      <c r="J15" s="65" t="s">
        <v>1673</v>
      </c>
      <c r="K15" s="65" t="s">
        <v>1677</v>
      </c>
      <c r="L15" s="65" t="s">
        <v>1717</v>
      </c>
      <c r="M15" s="65" t="s">
        <v>1718</v>
      </c>
      <c r="N15" s="63"/>
    </row>
    <row r="16" spans="1:14" ht="14.25">
      <c r="A16" s="370"/>
      <c r="B16" s="112" t="str">
        <f ca="1">IFERROR(__xludf.DUMMYFUNCTION("IMPORTRANGE(""1yxvnKk2gGDNIuz1R2GHLCP8UcRSEEAymvl41zLhKjMs"",""Geral!D5"")"),"Biblioteca Afonso Schmidt")</f>
        <v>Biblioteca Afonso Schmidt</v>
      </c>
      <c r="C16" s="63"/>
      <c r="D16" s="64" t="s">
        <v>1719</v>
      </c>
      <c r="E16" s="64" t="s">
        <v>1720</v>
      </c>
      <c r="F16" s="64" t="s">
        <v>1673</v>
      </c>
      <c r="G16" s="65" t="s">
        <v>1674</v>
      </c>
      <c r="H16" s="65" t="s">
        <v>1721</v>
      </c>
      <c r="I16" s="65" t="s">
        <v>1722</v>
      </c>
      <c r="J16" s="65" t="s">
        <v>1673</v>
      </c>
      <c r="K16" s="65" t="s">
        <v>1677</v>
      </c>
      <c r="L16" s="65" t="s">
        <v>1723</v>
      </c>
      <c r="M16" s="65" t="s">
        <v>1724</v>
      </c>
      <c r="N16" s="63"/>
    </row>
    <row r="17" spans="1:14" ht="14.25">
      <c r="A17" s="370"/>
      <c r="B17" s="112" t="str">
        <f ca="1">IFERROR(__xludf.DUMMYFUNCTION("IMPORTRANGE(""1yxvnKk2gGDNIuz1R2GHLCP8UcRSEEAymvl41zLhKjMs"",""Geral!D5"")"),"Biblioteca Afonso Schmidt")</f>
        <v>Biblioteca Afonso Schmidt</v>
      </c>
      <c r="C17" s="63"/>
      <c r="D17" s="64" t="s">
        <v>1725</v>
      </c>
      <c r="E17" s="64" t="s">
        <v>1726</v>
      </c>
      <c r="F17" s="64" t="s">
        <v>1663</v>
      </c>
      <c r="G17" s="65" t="s">
        <v>1664</v>
      </c>
      <c r="H17" s="65" t="s">
        <v>1727</v>
      </c>
      <c r="I17" s="65" t="s">
        <v>1728</v>
      </c>
      <c r="J17" s="65" t="s">
        <v>1667</v>
      </c>
      <c r="K17" s="65" t="s">
        <v>1668</v>
      </c>
      <c r="L17" s="65" t="s">
        <v>1729</v>
      </c>
      <c r="M17" s="65" t="s">
        <v>1730</v>
      </c>
      <c r="N17" s="63"/>
    </row>
    <row r="18" spans="1:14" ht="14.25">
      <c r="A18" s="370"/>
      <c r="B18" s="112" t="str">
        <f ca="1">IFERROR(__xludf.DUMMYFUNCTION("IMPORTRANGE(""1yxvnKk2gGDNIuz1R2GHLCP8UcRSEEAymvl41zLhKjMs"",""Geral!D5"")"),"Biblioteca Afonso Schmidt")</f>
        <v>Biblioteca Afonso Schmidt</v>
      </c>
      <c r="C18" s="63"/>
      <c r="D18" s="64" t="s">
        <v>1731</v>
      </c>
      <c r="E18" s="64" t="s">
        <v>1732</v>
      </c>
      <c r="F18" s="64" t="s">
        <v>1673</v>
      </c>
      <c r="G18" s="65" t="s">
        <v>1674</v>
      </c>
      <c r="H18" s="65" t="s">
        <v>1733</v>
      </c>
      <c r="I18" s="65" t="s">
        <v>1734</v>
      </c>
      <c r="J18" s="65" t="s">
        <v>1673</v>
      </c>
      <c r="K18" s="65" t="s">
        <v>1677</v>
      </c>
      <c r="L18" s="65" t="s">
        <v>1735</v>
      </c>
      <c r="M18" s="65" t="s">
        <v>1736</v>
      </c>
      <c r="N18" s="63"/>
    </row>
    <row r="19" spans="1:14" ht="14.25">
      <c r="A19" s="370"/>
      <c r="B19" s="112" t="str">
        <f ca="1">IFERROR(__xludf.DUMMYFUNCTION("IMPORTRANGE(""1yxvnKk2gGDNIuz1R2GHLCP8UcRSEEAymvl41zLhKjMs"",""Geral!D5"")"),"Biblioteca Afonso Schmidt")</f>
        <v>Biblioteca Afonso Schmidt</v>
      </c>
      <c r="C19" s="63"/>
      <c r="D19" s="64" t="s">
        <v>1737</v>
      </c>
      <c r="E19" s="64" t="s">
        <v>1738</v>
      </c>
      <c r="F19" s="64" t="s">
        <v>1673</v>
      </c>
      <c r="G19" s="65" t="s">
        <v>1674</v>
      </c>
      <c r="H19" s="65" t="s">
        <v>1739</v>
      </c>
      <c r="I19" s="65" t="s">
        <v>1740</v>
      </c>
      <c r="J19" s="65" t="s">
        <v>1673</v>
      </c>
      <c r="K19" s="65" t="s">
        <v>1677</v>
      </c>
      <c r="L19" s="65" t="s">
        <v>1741</v>
      </c>
      <c r="M19" s="65" t="s">
        <v>1742</v>
      </c>
      <c r="N19" s="63"/>
    </row>
    <row r="20" spans="1:14" ht="14.25">
      <c r="A20" s="370"/>
      <c r="B20" s="112" t="str">
        <f ca="1">IFERROR(__xludf.DUMMYFUNCTION("IMPORTRANGE(""1yxvnKk2gGDNIuz1R2GHLCP8UcRSEEAymvl41zLhKjMs"",""Geral!D5"")"),"Biblioteca Afonso Schmidt")</f>
        <v>Biblioteca Afonso Schmidt</v>
      </c>
      <c r="C20" s="63"/>
      <c r="D20" s="64"/>
      <c r="E20" s="66"/>
      <c r="F20" s="66"/>
      <c r="G20" s="67"/>
      <c r="H20" s="67"/>
      <c r="I20" s="67"/>
      <c r="J20" s="67"/>
      <c r="K20" s="67"/>
      <c r="L20" s="65"/>
      <c r="M20" s="65"/>
      <c r="N20" s="63"/>
    </row>
    <row r="21" spans="1:14" ht="14.25">
      <c r="A21" s="370"/>
      <c r="B21" s="112" t="str">
        <f ca="1">IFERROR(__xludf.DUMMYFUNCTION("IMPORTRANGE(""1yxvnKk2gGDNIuz1R2GHLCP8UcRSEEAymvl41zLhKjMs"",""Geral!D5"")"),"Biblioteca Afonso Schmidt")</f>
        <v>Biblioteca Afonso Schmidt</v>
      </c>
      <c r="C21" s="63"/>
      <c r="D21" s="64"/>
      <c r="E21" s="66"/>
      <c r="F21" s="66"/>
      <c r="G21" s="67"/>
      <c r="H21" s="67"/>
      <c r="I21" s="67"/>
      <c r="J21" s="67"/>
      <c r="K21" s="67"/>
      <c r="L21" s="65"/>
      <c r="M21" s="65"/>
      <c r="N21" s="63"/>
    </row>
    <row r="22" spans="1:14" ht="14.25">
      <c r="A22" s="370"/>
      <c r="B22" s="112" t="str">
        <f ca="1">IFERROR(__xludf.DUMMYFUNCTION("IMPORTRANGE(""1yxvnKk2gGDNIuz1R2GHLCP8UcRSEEAymvl41zLhKjMs"",""Geral!D5"")"),"Biblioteca Afonso Schmidt")</f>
        <v>Biblioteca Afonso Schmidt</v>
      </c>
      <c r="C22" s="63"/>
      <c r="D22" s="64"/>
      <c r="E22" s="66"/>
      <c r="F22" s="66"/>
      <c r="G22" s="67"/>
      <c r="H22" s="67"/>
      <c r="I22" s="67"/>
      <c r="J22" s="67"/>
      <c r="K22" s="67"/>
      <c r="L22" s="65"/>
      <c r="M22" s="65"/>
      <c r="N22" s="63"/>
    </row>
    <row r="23" spans="1:14" ht="12.75">
      <c r="A23" s="437" t="str">
        <f ca="1">IFERROR(__xludf.DUMMYFUNCTION("IMPORTRANGE(""1yxvnKk2gGDNIuz1R2GHLCP8UcRSEEAymvl41zLhKjMs"",""Geral!C6"")"),"BM10 - ONB")</f>
        <v>BM10 - ONB</v>
      </c>
      <c r="B23" s="447" t="str">
        <f ca="1">IFERROR(__xludf.DUMMYFUNCTION("IMPORTRANGE(""1yxvnKk2gGDNIuz1R2GHLCP8UcRSEEAymvl41zLhKjMs"",""Geral!D6"")"),"Biblioteca Afonso Taunay")</f>
        <v>Biblioteca Afonso Taunay</v>
      </c>
      <c r="C23" s="63"/>
      <c r="D23" s="64" t="s">
        <v>1743</v>
      </c>
      <c r="E23" s="64" t="s">
        <v>1744</v>
      </c>
      <c r="F23" s="64" t="s">
        <v>1663</v>
      </c>
      <c r="G23" s="65" t="s">
        <v>1664</v>
      </c>
      <c r="H23" s="65" t="s">
        <v>1745</v>
      </c>
      <c r="I23" s="65" t="s">
        <v>1746</v>
      </c>
      <c r="J23" s="65" t="s">
        <v>1667</v>
      </c>
      <c r="K23" s="65" t="s">
        <v>1668</v>
      </c>
      <c r="L23" s="65" t="s">
        <v>1747</v>
      </c>
      <c r="M23" s="65" t="s">
        <v>1748</v>
      </c>
      <c r="N23" s="63"/>
    </row>
    <row r="24" spans="1:14" ht="12.75">
      <c r="A24" s="370"/>
      <c r="B24" s="448"/>
      <c r="C24" s="63"/>
      <c r="D24" s="64" t="s">
        <v>1749</v>
      </c>
      <c r="E24" s="64" t="s">
        <v>1750</v>
      </c>
      <c r="F24" s="64" t="s">
        <v>1673</v>
      </c>
      <c r="G24" s="65" t="s">
        <v>1674</v>
      </c>
      <c r="H24" s="65" t="s">
        <v>1751</v>
      </c>
      <c r="I24" s="65" t="s">
        <v>1752</v>
      </c>
      <c r="J24" s="65" t="s">
        <v>1673</v>
      </c>
      <c r="K24" s="65" t="s">
        <v>1677</v>
      </c>
      <c r="L24" s="65" t="s">
        <v>1753</v>
      </c>
      <c r="M24" s="65" t="s">
        <v>1754</v>
      </c>
      <c r="N24" s="63"/>
    </row>
    <row r="25" spans="1:14" ht="12.75">
      <c r="A25" s="370"/>
      <c r="B25" s="448"/>
      <c r="C25" s="63"/>
      <c r="D25" s="64" t="s">
        <v>1755</v>
      </c>
      <c r="E25" s="64" t="s">
        <v>1756</v>
      </c>
      <c r="F25" s="64" t="s">
        <v>1673</v>
      </c>
      <c r="G25" s="65" t="s">
        <v>1674</v>
      </c>
      <c r="H25" s="65" t="s">
        <v>1757</v>
      </c>
      <c r="I25" s="65" t="s">
        <v>1758</v>
      </c>
      <c r="J25" s="65" t="s">
        <v>1673</v>
      </c>
      <c r="K25" s="65" t="s">
        <v>1677</v>
      </c>
      <c r="L25" s="65" t="s">
        <v>1759</v>
      </c>
      <c r="M25" s="65" t="s">
        <v>1760</v>
      </c>
      <c r="N25" s="63"/>
    </row>
    <row r="26" spans="1:14" ht="12.75">
      <c r="A26" s="370"/>
      <c r="B26" s="448"/>
      <c r="C26" s="63"/>
      <c r="D26" s="64" t="s">
        <v>1761</v>
      </c>
      <c r="E26" s="64" t="s">
        <v>1762</v>
      </c>
      <c r="F26" s="64" t="s">
        <v>1673</v>
      </c>
      <c r="G26" s="65" t="s">
        <v>1674</v>
      </c>
      <c r="H26" s="65" t="s">
        <v>1763</v>
      </c>
      <c r="I26" s="65" t="s">
        <v>1764</v>
      </c>
      <c r="J26" s="65" t="s">
        <v>1673</v>
      </c>
      <c r="K26" s="65" t="s">
        <v>1677</v>
      </c>
      <c r="L26" s="65" t="s">
        <v>1765</v>
      </c>
      <c r="M26" s="65" t="s">
        <v>1766</v>
      </c>
      <c r="N26" s="63"/>
    </row>
    <row r="27" spans="1:14" ht="12.75">
      <c r="A27" s="370"/>
      <c r="B27" s="448"/>
      <c r="C27" s="63"/>
      <c r="D27" s="64" t="s">
        <v>1767</v>
      </c>
      <c r="E27" s="64" t="s">
        <v>1768</v>
      </c>
      <c r="F27" s="64" t="s">
        <v>1673</v>
      </c>
      <c r="G27" s="65" t="s">
        <v>1674</v>
      </c>
      <c r="H27" s="65" t="s">
        <v>1769</v>
      </c>
      <c r="I27" s="65" t="s">
        <v>1770</v>
      </c>
      <c r="J27" s="65" t="s">
        <v>1673</v>
      </c>
      <c r="K27" s="65" t="s">
        <v>1677</v>
      </c>
      <c r="L27" s="65" t="s">
        <v>1771</v>
      </c>
      <c r="M27" s="65" t="s">
        <v>1772</v>
      </c>
      <c r="N27" s="63"/>
    </row>
    <row r="28" spans="1:14" ht="12.75">
      <c r="A28" s="370"/>
      <c r="B28" s="448"/>
      <c r="C28" s="63"/>
      <c r="D28" s="64" t="s">
        <v>1773</v>
      </c>
      <c r="E28" s="64" t="s">
        <v>1774</v>
      </c>
      <c r="F28" s="64" t="s">
        <v>1673</v>
      </c>
      <c r="G28" s="65" t="s">
        <v>1674</v>
      </c>
      <c r="H28" s="65" t="s">
        <v>1775</v>
      </c>
      <c r="I28" s="65" t="s">
        <v>1776</v>
      </c>
      <c r="J28" s="65" t="s">
        <v>1673</v>
      </c>
      <c r="K28" s="65" t="s">
        <v>1677</v>
      </c>
      <c r="L28" s="65" t="s">
        <v>1777</v>
      </c>
      <c r="M28" s="65" t="s">
        <v>1778</v>
      </c>
      <c r="N28" s="63"/>
    </row>
    <row r="29" spans="1:14" ht="12.75">
      <c r="A29" s="370"/>
      <c r="B29" s="448"/>
      <c r="C29" s="63"/>
      <c r="D29" s="64" t="s">
        <v>1779</v>
      </c>
      <c r="E29" s="64" t="s">
        <v>1780</v>
      </c>
      <c r="F29" s="64" t="s">
        <v>1673</v>
      </c>
      <c r="G29" s="65" t="s">
        <v>1674</v>
      </c>
      <c r="H29" s="65" t="s">
        <v>1781</v>
      </c>
      <c r="I29" s="65" t="s">
        <v>1782</v>
      </c>
      <c r="J29" s="65" t="s">
        <v>1673</v>
      </c>
      <c r="K29" s="65" t="s">
        <v>1677</v>
      </c>
      <c r="L29" s="65" t="s">
        <v>1753</v>
      </c>
      <c r="M29" s="65" t="s">
        <v>1754</v>
      </c>
      <c r="N29" s="63"/>
    </row>
    <row r="30" spans="1:14" ht="12.75">
      <c r="A30" s="370"/>
      <c r="B30" s="448"/>
      <c r="C30" s="63"/>
      <c r="D30" s="64" t="s">
        <v>1783</v>
      </c>
      <c r="E30" s="64" t="s">
        <v>1784</v>
      </c>
      <c r="F30" s="64" t="s">
        <v>1673</v>
      </c>
      <c r="G30" s="65" t="s">
        <v>1674</v>
      </c>
      <c r="H30" s="65" t="s">
        <v>1785</v>
      </c>
      <c r="I30" s="65" t="s">
        <v>1786</v>
      </c>
      <c r="J30" s="65" t="s">
        <v>1673</v>
      </c>
      <c r="K30" s="65" t="s">
        <v>1677</v>
      </c>
      <c r="L30" s="65" t="s">
        <v>1787</v>
      </c>
      <c r="M30" s="65" t="s">
        <v>1788</v>
      </c>
      <c r="N30" s="63"/>
    </row>
    <row r="31" spans="1:14" ht="12.75">
      <c r="A31" s="370"/>
      <c r="B31" s="377"/>
      <c r="C31" s="63"/>
      <c r="D31" s="64" t="s">
        <v>1789</v>
      </c>
      <c r="E31" s="64" t="s">
        <v>1790</v>
      </c>
      <c r="F31" s="64" t="s">
        <v>1663</v>
      </c>
      <c r="G31" s="65" t="s">
        <v>1664</v>
      </c>
      <c r="H31" s="65" t="s">
        <v>1791</v>
      </c>
      <c r="I31" s="65" t="s">
        <v>1792</v>
      </c>
      <c r="J31" s="65" t="s">
        <v>1667</v>
      </c>
      <c r="K31" s="65" t="s">
        <v>1668</v>
      </c>
      <c r="L31" s="65" t="s">
        <v>1793</v>
      </c>
      <c r="M31" s="65" t="s">
        <v>1794</v>
      </c>
      <c r="N31" s="63"/>
    </row>
    <row r="32" spans="1:14" ht="12.75">
      <c r="A32" s="449"/>
      <c r="B32" s="451" t="s">
        <v>1795</v>
      </c>
      <c r="C32" s="63"/>
      <c r="D32" s="64" t="s">
        <v>1796</v>
      </c>
      <c r="E32" s="64" t="s">
        <v>1797</v>
      </c>
      <c r="F32" s="64" t="s">
        <v>1673</v>
      </c>
      <c r="G32" s="65" t="s">
        <v>1674</v>
      </c>
      <c r="H32" s="65" t="s">
        <v>1798</v>
      </c>
      <c r="I32" s="65" t="s">
        <v>1799</v>
      </c>
      <c r="J32" s="65" t="s">
        <v>1800</v>
      </c>
      <c r="K32" s="65" t="s">
        <v>1801</v>
      </c>
      <c r="L32" s="65" t="s">
        <v>1802</v>
      </c>
      <c r="M32" s="65" t="s">
        <v>1803</v>
      </c>
      <c r="N32" s="63"/>
    </row>
    <row r="33" spans="1:14" ht="12.75">
      <c r="A33" s="370"/>
      <c r="B33" s="370"/>
      <c r="C33" s="63"/>
      <c r="D33" s="64" t="s">
        <v>1804</v>
      </c>
      <c r="E33" s="64" t="s">
        <v>1805</v>
      </c>
      <c r="F33" s="64" t="s">
        <v>1673</v>
      </c>
      <c r="G33" s="65" t="s">
        <v>1674</v>
      </c>
      <c r="H33" s="65" t="s">
        <v>1806</v>
      </c>
      <c r="I33" s="65" t="s">
        <v>1807</v>
      </c>
      <c r="J33" s="65" t="s">
        <v>1673</v>
      </c>
      <c r="K33" s="65" t="s">
        <v>1677</v>
      </c>
      <c r="L33" s="65" t="s">
        <v>1808</v>
      </c>
      <c r="M33" s="65" t="s">
        <v>1809</v>
      </c>
      <c r="N33" s="63"/>
    </row>
    <row r="34" spans="1:14" ht="12.75">
      <c r="A34" s="370"/>
      <c r="B34" s="370"/>
      <c r="C34" s="63"/>
      <c r="D34" s="64" t="s">
        <v>1810</v>
      </c>
      <c r="E34" s="64" t="s">
        <v>1811</v>
      </c>
      <c r="F34" s="64" t="s">
        <v>1673</v>
      </c>
      <c r="G34" s="65" t="s">
        <v>1674</v>
      </c>
      <c r="H34" s="65" t="s">
        <v>1812</v>
      </c>
      <c r="I34" s="65" t="s">
        <v>1813</v>
      </c>
      <c r="J34" s="65" t="s">
        <v>1673</v>
      </c>
      <c r="K34" s="65" t="s">
        <v>1677</v>
      </c>
      <c r="L34" s="65" t="s">
        <v>1814</v>
      </c>
      <c r="M34" s="65" t="s">
        <v>1815</v>
      </c>
      <c r="N34" s="63"/>
    </row>
    <row r="35" spans="1:14" ht="12.75">
      <c r="A35" s="370"/>
      <c r="B35" s="370"/>
      <c r="C35" s="63"/>
      <c r="D35" s="64" t="s">
        <v>1816</v>
      </c>
      <c r="E35" s="64" t="s">
        <v>1817</v>
      </c>
      <c r="F35" s="64" t="s">
        <v>1818</v>
      </c>
      <c r="G35" s="65" t="s">
        <v>1819</v>
      </c>
      <c r="H35" s="65">
        <v>1216604019290080</v>
      </c>
      <c r="I35" s="65" t="s">
        <v>1820</v>
      </c>
      <c r="J35" s="65" t="s">
        <v>1682</v>
      </c>
      <c r="K35" s="65" t="s">
        <v>1686</v>
      </c>
      <c r="L35" s="65">
        <v>10448871</v>
      </c>
      <c r="M35" s="65" t="s">
        <v>1687</v>
      </c>
      <c r="N35" s="63"/>
    </row>
    <row r="36" spans="1:14" ht="12.75">
      <c r="A36" s="370"/>
      <c r="B36" s="370"/>
      <c r="C36" s="63"/>
      <c r="D36" s="64"/>
      <c r="E36" s="64"/>
      <c r="F36" s="64"/>
      <c r="G36" s="65"/>
      <c r="H36" s="65"/>
      <c r="I36" s="65"/>
      <c r="J36" s="65"/>
      <c r="K36" s="65"/>
      <c r="L36" s="65"/>
      <c r="M36" s="65"/>
      <c r="N36" s="63"/>
    </row>
    <row r="37" spans="1:14" ht="12.75">
      <c r="A37" s="370"/>
      <c r="B37" s="370"/>
      <c r="C37" s="63"/>
      <c r="D37" s="64"/>
      <c r="E37" s="64"/>
      <c r="F37" s="64"/>
      <c r="G37" s="65"/>
      <c r="H37" s="65"/>
      <c r="I37" s="65"/>
      <c r="J37" s="65"/>
      <c r="K37" s="65"/>
      <c r="L37" s="65"/>
      <c r="M37" s="65"/>
      <c r="N37" s="63"/>
    </row>
    <row r="38" spans="1:14" ht="12.75">
      <c r="A38" s="370"/>
      <c r="B38" s="370"/>
      <c r="C38" s="63"/>
      <c r="D38" s="64"/>
      <c r="E38" s="64"/>
      <c r="F38" s="64"/>
      <c r="G38" s="65"/>
      <c r="H38" s="65"/>
      <c r="I38" s="65"/>
      <c r="J38" s="65"/>
      <c r="K38" s="65"/>
      <c r="L38" s="65"/>
      <c r="M38" s="65"/>
      <c r="N38" s="63"/>
    </row>
    <row r="39" spans="1:14" ht="12.75">
      <c r="A39" s="370"/>
      <c r="B39" s="370"/>
      <c r="C39" s="63"/>
      <c r="D39" s="64"/>
      <c r="E39" s="64"/>
      <c r="F39" s="64"/>
      <c r="G39" s="65"/>
      <c r="H39" s="65"/>
      <c r="I39" s="65"/>
      <c r="J39" s="65"/>
      <c r="K39" s="65"/>
      <c r="L39" s="65"/>
      <c r="M39" s="65"/>
      <c r="N39" s="63"/>
    </row>
    <row r="40" spans="1:14" ht="12.75">
      <c r="A40" s="370"/>
      <c r="B40" s="370"/>
      <c r="C40" s="63"/>
      <c r="D40" s="64"/>
      <c r="E40" s="64"/>
      <c r="F40" s="64"/>
      <c r="G40" s="65"/>
      <c r="H40" s="65"/>
      <c r="I40" s="65"/>
      <c r="J40" s="65"/>
      <c r="K40" s="65"/>
      <c r="L40" s="65"/>
      <c r="M40" s="65"/>
      <c r="N40" s="63"/>
    </row>
    <row r="41" spans="1:14" ht="12.75">
      <c r="A41" s="452" t="str">
        <f ca="1">IFERROR(__xludf.DUMMYFUNCTION("IMPORTRANGE(""1yxvnKk2gGDNIuz1R2GHLCP8UcRSEEAymvl41zLhKjMs"",""Geral!C7"")"),"BM33")</f>
        <v>BM33</v>
      </c>
      <c r="B41" s="453" t="str">
        <f ca="1">IFERROR(__xludf.DUMMYFUNCTION("IMPORTRANGE(""1yxvnKk2gGDNIuz1R2GHLCP8UcRSEEAymvl41zLhKjMs"",""Geral!D7"")"),"Biblioteca Alceu Amoroso Lima")</f>
        <v>Biblioteca Alceu Amoroso Lima</v>
      </c>
      <c r="C41" s="63"/>
      <c r="D41" s="64" t="s">
        <v>1821</v>
      </c>
      <c r="E41" s="64" t="s">
        <v>1822</v>
      </c>
      <c r="F41" s="64" t="s">
        <v>1673</v>
      </c>
      <c r="G41" s="65" t="s">
        <v>1674</v>
      </c>
      <c r="H41" s="65" t="s">
        <v>1823</v>
      </c>
      <c r="I41" s="65" t="s">
        <v>1824</v>
      </c>
      <c r="J41" s="65" t="s">
        <v>1673</v>
      </c>
      <c r="K41" s="65" t="s">
        <v>1677</v>
      </c>
      <c r="L41" s="65" t="s">
        <v>1825</v>
      </c>
      <c r="M41" s="65" t="s">
        <v>1826</v>
      </c>
      <c r="N41" s="63"/>
    </row>
    <row r="42" spans="1:14" ht="12.75">
      <c r="A42" s="370"/>
      <c r="B42" s="448"/>
      <c r="C42" s="63"/>
      <c r="D42" s="64" t="s">
        <v>1827</v>
      </c>
      <c r="E42" s="64" t="s">
        <v>1828</v>
      </c>
      <c r="F42" s="64" t="s">
        <v>1673</v>
      </c>
      <c r="G42" s="65" t="s">
        <v>1674</v>
      </c>
      <c r="H42" s="65" t="s">
        <v>1829</v>
      </c>
      <c r="I42" s="65" t="s">
        <v>1830</v>
      </c>
      <c r="J42" s="65" t="s">
        <v>1673</v>
      </c>
      <c r="K42" s="65" t="s">
        <v>1677</v>
      </c>
      <c r="L42" s="65" t="s">
        <v>1831</v>
      </c>
      <c r="M42" s="65" t="s">
        <v>1832</v>
      </c>
      <c r="N42" s="63"/>
    </row>
    <row r="43" spans="1:14" ht="12.75">
      <c r="A43" s="370"/>
      <c r="B43" s="448"/>
      <c r="C43" s="63"/>
      <c r="D43" s="64" t="s">
        <v>1833</v>
      </c>
      <c r="E43" s="64" t="s">
        <v>1834</v>
      </c>
      <c r="F43" s="64" t="s">
        <v>1818</v>
      </c>
      <c r="G43" s="65" t="s">
        <v>1819</v>
      </c>
      <c r="H43" s="65" t="s">
        <v>1835</v>
      </c>
      <c r="I43" s="65" t="s">
        <v>1836</v>
      </c>
      <c r="J43" s="65" t="s">
        <v>1682</v>
      </c>
      <c r="K43" s="65" t="s">
        <v>1837</v>
      </c>
      <c r="L43" s="65">
        <v>30469217</v>
      </c>
      <c r="M43" s="65"/>
      <c r="N43" s="63"/>
    </row>
    <row r="44" spans="1:14" ht="12.75">
      <c r="A44" s="370"/>
      <c r="B44" s="448"/>
      <c r="C44" s="63"/>
      <c r="D44" s="64" t="s">
        <v>1838</v>
      </c>
      <c r="E44" s="64" t="s">
        <v>1839</v>
      </c>
      <c r="F44" s="64" t="s">
        <v>1673</v>
      </c>
      <c r="G44" s="65" t="s">
        <v>1674</v>
      </c>
      <c r="H44" s="65" t="s">
        <v>1840</v>
      </c>
      <c r="I44" s="65" t="s">
        <v>1841</v>
      </c>
      <c r="J44" s="65" t="s">
        <v>1673</v>
      </c>
      <c r="K44" s="65" t="s">
        <v>1677</v>
      </c>
      <c r="L44" s="65" t="s">
        <v>1842</v>
      </c>
      <c r="M44" s="65" t="s">
        <v>1843</v>
      </c>
      <c r="N44" s="63"/>
    </row>
    <row r="45" spans="1:14" ht="12.75">
      <c r="A45" s="370"/>
      <c r="B45" s="448"/>
      <c r="C45" s="63"/>
      <c r="D45" s="64" t="s">
        <v>1844</v>
      </c>
      <c r="E45" s="64" t="s">
        <v>1845</v>
      </c>
      <c r="F45" s="64" t="s">
        <v>1673</v>
      </c>
      <c r="G45" s="65" t="s">
        <v>1674</v>
      </c>
      <c r="H45" s="65" t="s">
        <v>1846</v>
      </c>
      <c r="I45" s="65" t="s">
        <v>1847</v>
      </c>
      <c r="J45" s="65" t="s">
        <v>1673</v>
      </c>
      <c r="K45" s="65" t="s">
        <v>1677</v>
      </c>
      <c r="L45" s="65" t="s">
        <v>1848</v>
      </c>
      <c r="M45" s="65" t="s">
        <v>1849</v>
      </c>
      <c r="N45" s="63"/>
    </row>
    <row r="46" spans="1:14" ht="12.75">
      <c r="A46" s="370"/>
      <c r="B46" s="448"/>
      <c r="C46" s="63"/>
      <c r="D46" s="64" t="s">
        <v>1850</v>
      </c>
      <c r="E46" s="64" t="s">
        <v>1851</v>
      </c>
      <c r="F46" s="64" t="s">
        <v>1673</v>
      </c>
      <c r="G46" s="65" t="s">
        <v>1674</v>
      </c>
      <c r="H46" s="65" t="s">
        <v>1852</v>
      </c>
      <c r="I46" s="65" t="s">
        <v>1853</v>
      </c>
      <c r="J46" s="65" t="s">
        <v>1673</v>
      </c>
      <c r="K46" s="65" t="s">
        <v>1677</v>
      </c>
      <c r="L46" s="65" t="s">
        <v>1854</v>
      </c>
      <c r="M46" s="69" t="s">
        <v>1855</v>
      </c>
      <c r="N46" s="63"/>
    </row>
    <row r="47" spans="1:14" ht="12.75">
      <c r="A47" s="370"/>
      <c r="B47" s="448"/>
      <c r="C47" s="63"/>
      <c r="D47" s="64" t="s">
        <v>1856</v>
      </c>
      <c r="E47" s="64" t="s">
        <v>1857</v>
      </c>
      <c r="F47" s="64" t="s">
        <v>1663</v>
      </c>
      <c r="G47" s="65" t="s">
        <v>1664</v>
      </c>
      <c r="H47" s="65" t="s">
        <v>1858</v>
      </c>
      <c r="I47" s="65" t="s">
        <v>1859</v>
      </c>
      <c r="J47" s="65" t="s">
        <v>1667</v>
      </c>
      <c r="K47" s="65" t="s">
        <v>1860</v>
      </c>
      <c r="L47" s="65" t="s">
        <v>1861</v>
      </c>
      <c r="M47" s="65" t="s">
        <v>1862</v>
      </c>
      <c r="N47" s="63"/>
    </row>
    <row r="48" spans="1:14" ht="12.75">
      <c r="A48" s="370"/>
      <c r="B48" s="448"/>
      <c r="C48" s="63"/>
      <c r="D48" s="64"/>
      <c r="E48" s="66"/>
      <c r="F48" s="66"/>
      <c r="G48" s="67"/>
      <c r="H48" s="67"/>
      <c r="I48" s="67"/>
      <c r="J48" s="67"/>
      <c r="K48" s="67"/>
      <c r="L48" s="65"/>
      <c r="M48" s="65"/>
      <c r="N48" s="63"/>
    </row>
    <row r="49" spans="1:14" ht="12.75">
      <c r="A49" s="370"/>
      <c r="B49" s="448"/>
      <c r="C49" s="63"/>
      <c r="D49" s="64"/>
      <c r="E49" s="66"/>
      <c r="F49" s="66"/>
      <c r="G49" s="67"/>
      <c r="H49" s="67"/>
      <c r="I49" s="67"/>
      <c r="J49" s="67"/>
      <c r="K49" s="67"/>
      <c r="L49" s="65"/>
      <c r="M49" s="65"/>
      <c r="N49" s="63"/>
    </row>
    <row r="50" spans="1:14" ht="12.75">
      <c r="A50" s="370"/>
      <c r="B50" s="377"/>
      <c r="C50" s="63"/>
      <c r="D50" s="64"/>
      <c r="E50" s="66"/>
      <c r="F50" s="66"/>
      <c r="G50" s="67"/>
      <c r="H50" s="67"/>
      <c r="I50" s="67"/>
      <c r="J50" s="67"/>
      <c r="K50" s="67"/>
      <c r="L50" s="65"/>
      <c r="M50" s="65"/>
      <c r="N50" s="63"/>
    </row>
    <row r="51" spans="1:14" ht="12.75">
      <c r="A51" s="449" t="str">
        <f ca="1">IFERROR(__xludf.DUMMYFUNCTION("IMPORTRANGE(""1yxvnKk2gGDNIuz1R2GHLCP8UcRSEEAymvl41zLhKjMs"",""Geral!C8:D8"")"),"#REF!")</f>
        <v>#REF!</v>
      </c>
      <c r="B51" s="450" t="s">
        <v>1863</v>
      </c>
      <c r="C51" s="63"/>
      <c r="D51" s="64" t="s">
        <v>1864</v>
      </c>
      <c r="E51" s="64" t="s">
        <v>1865</v>
      </c>
      <c r="F51" s="64" t="s">
        <v>1673</v>
      </c>
      <c r="G51" s="65" t="s">
        <v>1866</v>
      </c>
      <c r="H51" s="65" t="s">
        <v>1867</v>
      </c>
      <c r="I51" s="65" t="s">
        <v>1868</v>
      </c>
      <c r="J51" s="65" t="s">
        <v>1673</v>
      </c>
      <c r="K51" s="65" t="s">
        <v>1677</v>
      </c>
      <c r="L51" s="65" t="s">
        <v>1869</v>
      </c>
      <c r="M51" s="65" t="s">
        <v>1870</v>
      </c>
      <c r="N51" s="63"/>
    </row>
    <row r="52" spans="1:14" ht="15">
      <c r="A52" s="370"/>
      <c r="B52" s="448"/>
      <c r="C52" s="63"/>
      <c r="D52" s="64" t="s">
        <v>1871</v>
      </c>
      <c r="E52" s="64" t="s">
        <v>1872</v>
      </c>
      <c r="F52" s="64" t="s">
        <v>1673</v>
      </c>
      <c r="G52" s="65" t="s">
        <v>1866</v>
      </c>
      <c r="H52" s="65" t="s">
        <v>1873</v>
      </c>
      <c r="I52" s="65" t="s">
        <v>1874</v>
      </c>
      <c r="J52" s="65" t="s">
        <v>1673</v>
      </c>
      <c r="K52" s="65" t="s">
        <v>1677</v>
      </c>
      <c r="L52" s="71" t="s">
        <v>1875</v>
      </c>
      <c r="M52" s="65" t="s">
        <v>1876</v>
      </c>
      <c r="N52" s="63"/>
    </row>
    <row r="53" spans="1:14" ht="12.75">
      <c r="A53" s="370"/>
      <c r="B53" s="448"/>
      <c r="C53" s="63"/>
      <c r="D53" s="64" t="s">
        <v>1877</v>
      </c>
      <c r="E53" s="64" t="s">
        <v>1878</v>
      </c>
      <c r="F53" s="64" t="s">
        <v>1663</v>
      </c>
      <c r="G53" s="65" t="s">
        <v>1664</v>
      </c>
      <c r="H53" s="65" t="s">
        <v>1879</v>
      </c>
      <c r="I53" s="65" t="s">
        <v>1880</v>
      </c>
      <c r="J53" s="65" t="s">
        <v>1667</v>
      </c>
      <c r="K53" s="65" t="s">
        <v>1860</v>
      </c>
      <c r="L53" s="65" t="s">
        <v>1881</v>
      </c>
      <c r="M53" s="65" t="s">
        <v>1882</v>
      </c>
      <c r="N53" s="63"/>
    </row>
    <row r="54" spans="1:14" ht="12.75">
      <c r="A54" s="370"/>
      <c r="B54" s="448"/>
      <c r="C54" s="63"/>
      <c r="D54" s="64"/>
      <c r="E54" s="64"/>
      <c r="F54" s="66"/>
      <c r="G54" s="67"/>
      <c r="H54" s="72"/>
      <c r="I54" s="67"/>
      <c r="J54" s="67"/>
      <c r="K54" s="67"/>
      <c r="L54" s="65"/>
      <c r="M54" s="65"/>
      <c r="N54" s="63"/>
    </row>
    <row r="55" spans="1:14" ht="12.75">
      <c r="A55" s="370"/>
      <c r="B55" s="448"/>
      <c r="C55" s="63"/>
      <c r="D55" s="64"/>
      <c r="E55" s="64"/>
      <c r="F55" s="66"/>
      <c r="G55" s="67"/>
      <c r="H55" s="72"/>
      <c r="I55" s="67"/>
      <c r="J55" s="67"/>
      <c r="K55" s="67"/>
      <c r="L55" s="65"/>
      <c r="M55" s="65"/>
      <c r="N55" s="63"/>
    </row>
    <row r="56" spans="1:14" ht="12.75">
      <c r="A56" s="370"/>
      <c r="B56" s="377"/>
      <c r="C56" s="63"/>
      <c r="D56" s="64"/>
      <c r="E56" s="64"/>
      <c r="F56" s="66"/>
      <c r="G56" s="67"/>
      <c r="H56" s="72"/>
      <c r="I56" s="67"/>
      <c r="J56" s="67"/>
      <c r="K56" s="67"/>
      <c r="L56" s="65"/>
      <c r="M56" s="65"/>
      <c r="N56" s="63"/>
    </row>
    <row r="57" spans="1:14" ht="12.75">
      <c r="A57" s="449"/>
      <c r="B57" s="450" t="s">
        <v>1883</v>
      </c>
      <c r="C57" s="63"/>
      <c r="D57" s="64" t="s">
        <v>1884</v>
      </c>
      <c r="E57" s="64" t="s">
        <v>1885</v>
      </c>
      <c r="F57" s="64" t="s">
        <v>1818</v>
      </c>
      <c r="G57" s="65" t="s">
        <v>1819</v>
      </c>
      <c r="H57" s="73" t="s">
        <v>1886</v>
      </c>
      <c r="I57" s="65" t="s">
        <v>1887</v>
      </c>
      <c r="J57" s="65" t="s">
        <v>1682</v>
      </c>
      <c r="K57" s="65" t="s">
        <v>1686</v>
      </c>
      <c r="L57" s="65">
        <v>11019867</v>
      </c>
      <c r="M57" s="65"/>
      <c r="N57" s="63"/>
    </row>
    <row r="58" spans="1:14" ht="15">
      <c r="A58" s="370"/>
      <c r="B58" s="448"/>
      <c r="C58" s="63"/>
      <c r="D58" s="64" t="s">
        <v>1888</v>
      </c>
      <c r="E58" s="64" t="s">
        <v>1889</v>
      </c>
      <c r="F58" s="64" t="s">
        <v>1673</v>
      </c>
      <c r="G58" s="65" t="s">
        <v>1674</v>
      </c>
      <c r="H58" s="65" t="s">
        <v>1890</v>
      </c>
      <c r="I58" s="71" t="s">
        <v>1891</v>
      </c>
      <c r="J58" s="65" t="s">
        <v>1673</v>
      </c>
      <c r="K58" s="65" t="s">
        <v>1677</v>
      </c>
      <c r="L58" s="65" t="s">
        <v>1892</v>
      </c>
      <c r="M58" s="69" t="s">
        <v>1893</v>
      </c>
      <c r="N58" s="63"/>
    </row>
    <row r="59" spans="1:14" ht="12.75">
      <c r="A59" s="370"/>
      <c r="B59" s="448"/>
      <c r="C59" s="63"/>
      <c r="D59" s="64" t="s">
        <v>1894</v>
      </c>
      <c r="E59" s="64" t="s">
        <v>1895</v>
      </c>
      <c r="F59" s="64" t="s">
        <v>1673</v>
      </c>
      <c r="G59" s="65" t="s">
        <v>1674</v>
      </c>
      <c r="H59" s="65" t="s">
        <v>1896</v>
      </c>
      <c r="I59" s="65" t="s">
        <v>1897</v>
      </c>
      <c r="J59" s="65" t="s">
        <v>1673</v>
      </c>
      <c r="K59" s="65" t="s">
        <v>1677</v>
      </c>
      <c r="L59" s="65" t="s">
        <v>1898</v>
      </c>
      <c r="M59" s="65" t="s">
        <v>1899</v>
      </c>
      <c r="N59" s="63"/>
    </row>
    <row r="60" spans="1:14" ht="12.75">
      <c r="A60" s="370"/>
      <c r="B60" s="448"/>
      <c r="C60" s="63"/>
      <c r="D60" s="64" t="s">
        <v>1900</v>
      </c>
      <c r="E60" s="64" t="s">
        <v>1901</v>
      </c>
      <c r="F60" s="64" t="s">
        <v>1673</v>
      </c>
      <c r="G60" s="65" t="s">
        <v>1674</v>
      </c>
      <c r="H60" s="65" t="s">
        <v>1902</v>
      </c>
      <c r="I60" s="69" t="s">
        <v>1903</v>
      </c>
      <c r="J60" s="65" t="s">
        <v>1673</v>
      </c>
      <c r="K60" s="65" t="s">
        <v>1677</v>
      </c>
      <c r="L60" s="65" t="s">
        <v>1904</v>
      </c>
      <c r="M60" s="65" t="s">
        <v>1905</v>
      </c>
      <c r="N60" s="63"/>
    </row>
    <row r="61" spans="1:14" ht="12.75">
      <c r="A61" s="370"/>
      <c r="B61" s="448"/>
      <c r="C61" s="63"/>
      <c r="D61" s="64" t="s">
        <v>1906</v>
      </c>
      <c r="E61" s="64" t="s">
        <v>1907</v>
      </c>
      <c r="F61" s="64" t="s">
        <v>1673</v>
      </c>
      <c r="G61" s="65" t="s">
        <v>1674</v>
      </c>
      <c r="H61" s="65" t="s">
        <v>1908</v>
      </c>
      <c r="I61" s="65" t="s">
        <v>1909</v>
      </c>
      <c r="J61" s="65" t="s">
        <v>1673</v>
      </c>
      <c r="K61" s="65" t="s">
        <v>1677</v>
      </c>
      <c r="L61" s="65" t="s">
        <v>1910</v>
      </c>
      <c r="M61" s="73" t="s">
        <v>1911</v>
      </c>
      <c r="N61" s="63"/>
    </row>
    <row r="62" spans="1:14" ht="12.75">
      <c r="A62" s="370"/>
      <c r="B62" s="448"/>
      <c r="C62" s="63"/>
      <c r="D62" s="64" t="s">
        <v>1912</v>
      </c>
      <c r="E62" s="64" t="s">
        <v>1913</v>
      </c>
      <c r="F62" s="64" t="s">
        <v>1673</v>
      </c>
      <c r="G62" s="65" t="s">
        <v>1674</v>
      </c>
      <c r="H62" s="65" t="s">
        <v>1914</v>
      </c>
      <c r="I62" s="65" t="s">
        <v>1915</v>
      </c>
      <c r="J62" s="65" t="s">
        <v>1673</v>
      </c>
      <c r="K62" s="65" t="s">
        <v>1677</v>
      </c>
      <c r="L62" s="65" t="s">
        <v>1916</v>
      </c>
      <c r="M62" s="65" t="s">
        <v>1917</v>
      </c>
      <c r="N62" s="63"/>
    </row>
    <row r="63" spans="1:14" ht="12.75">
      <c r="A63" s="370"/>
      <c r="B63" s="448"/>
      <c r="C63" s="63"/>
      <c r="D63" s="64" t="s">
        <v>1918</v>
      </c>
      <c r="E63" s="64" t="s">
        <v>1919</v>
      </c>
      <c r="F63" s="64" t="s">
        <v>1673</v>
      </c>
      <c r="G63" s="65" t="s">
        <v>1674</v>
      </c>
      <c r="H63" s="65" t="s">
        <v>1920</v>
      </c>
      <c r="I63" s="65"/>
      <c r="J63" s="65" t="s">
        <v>1667</v>
      </c>
      <c r="K63" s="65" t="s">
        <v>1860</v>
      </c>
      <c r="L63" s="65" t="s">
        <v>1921</v>
      </c>
      <c r="M63" s="65" t="s">
        <v>1922</v>
      </c>
      <c r="N63" s="63"/>
    </row>
    <row r="64" spans="1:14" ht="12.75">
      <c r="A64" s="370"/>
      <c r="B64" s="448"/>
      <c r="C64" s="63"/>
      <c r="D64" s="64"/>
      <c r="E64" s="66"/>
      <c r="F64" s="66"/>
      <c r="G64" s="67"/>
      <c r="H64" s="67"/>
      <c r="I64" s="67"/>
      <c r="J64" s="67"/>
      <c r="K64" s="67"/>
      <c r="L64" s="65"/>
      <c r="M64" s="65"/>
      <c r="N64" s="63"/>
    </row>
    <row r="65" spans="1:14" ht="12.75">
      <c r="A65" s="370"/>
      <c r="B65" s="448"/>
      <c r="C65" s="63"/>
      <c r="D65" s="64"/>
      <c r="E65" s="66"/>
      <c r="F65" s="66"/>
      <c r="G65" s="67"/>
      <c r="H65" s="67"/>
      <c r="I65" s="67"/>
      <c r="J65" s="67"/>
      <c r="K65" s="67"/>
      <c r="L65" s="65"/>
      <c r="M65" s="65"/>
      <c r="N65" s="63"/>
    </row>
    <row r="66" spans="1:14" ht="12.75">
      <c r="A66" s="370"/>
      <c r="B66" s="377"/>
      <c r="C66" s="63"/>
      <c r="D66" s="64"/>
      <c r="E66" s="66"/>
      <c r="F66" s="66"/>
      <c r="G66" s="67"/>
      <c r="H66" s="67"/>
      <c r="I66" s="67"/>
      <c r="J66" s="67"/>
      <c r="K66" s="67"/>
      <c r="L66" s="65"/>
      <c r="M66" s="65"/>
      <c r="N66" s="63"/>
    </row>
    <row r="67" spans="1:14" ht="12.75">
      <c r="A67" s="449"/>
      <c r="B67" s="74" t="s">
        <v>1923</v>
      </c>
      <c r="C67" s="63"/>
      <c r="D67" s="64" t="s">
        <v>1924</v>
      </c>
      <c r="E67" s="64" t="s">
        <v>1925</v>
      </c>
      <c r="F67" s="64" t="s">
        <v>1673</v>
      </c>
      <c r="G67" s="65" t="s">
        <v>1674</v>
      </c>
      <c r="H67" s="65" t="s">
        <v>1926</v>
      </c>
      <c r="I67" s="65" t="s">
        <v>1927</v>
      </c>
      <c r="J67" s="65" t="s">
        <v>1673</v>
      </c>
      <c r="K67" s="65" t="s">
        <v>1928</v>
      </c>
      <c r="L67" s="65" t="s">
        <v>1929</v>
      </c>
      <c r="M67" s="65" t="s">
        <v>1930</v>
      </c>
      <c r="N67" s="63"/>
    </row>
    <row r="68" spans="1:14" ht="12.75">
      <c r="A68" s="370"/>
      <c r="B68" s="74" t="s">
        <v>1923</v>
      </c>
      <c r="C68" s="63"/>
      <c r="D68" s="64" t="s">
        <v>1931</v>
      </c>
      <c r="E68" s="64" t="s">
        <v>1932</v>
      </c>
      <c r="F68" s="64" t="s">
        <v>1673</v>
      </c>
      <c r="G68" s="65" t="s">
        <v>1674</v>
      </c>
      <c r="H68" s="65" t="s">
        <v>1933</v>
      </c>
      <c r="I68" s="75" t="s">
        <v>1934</v>
      </c>
      <c r="J68" s="65" t="s">
        <v>1673</v>
      </c>
      <c r="K68" s="65" t="s">
        <v>1928</v>
      </c>
      <c r="L68" s="65" t="s">
        <v>1935</v>
      </c>
      <c r="M68" s="65" t="s">
        <v>1936</v>
      </c>
      <c r="N68" s="63"/>
    </row>
    <row r="69" spans="1:14" ht="12.75">
      <c r="A69" s="370"/>
      <c r="B69" s="74" t="s">
        <v>1923</v>
      </c>
      <c r="C69" s="63"/>
      <c r="D69" s="64" t="s">
        <v>1937</v>
      </c>
      <c r="E69" s="64" t="s">
        <v>1938</v>
      </c>
      <c r="F69" s="64" t="s">
        <v>1673</v>
      </c>
      <c r="G69" s="65" t="s">
        <v>1674</v>
      </c>
      <c r="H69" s="65" t="s">
        <v>1939</v>
      </c>
      <c r="I69" s="65" t="s">
        <v>1940</v>
      </c>
      <c r="J69" s="65" t="s">
        <v>1673</v>
      </c>
      <c r="K69" s="65" t="s">
        <v>1928</v>
      </c>
      <c r="L69" s="65" t="s">
        <v>1941</v>
      </c>
      <c r="M69" s="65" t="s">
        <v>1942</v>
      </c>
      <c r="N69" s="63"/>
    </row>
    <row r="70" spans="1:14" ht="12.75">
      <c r="A70" s="370"/>
      <c r="B70" s="74" t="s">
        <v>1923</v>
      </c>
      <c r="C70" s="63"/>
      <c r="D70" s="64" t="s">
        <v>1943</v>
      </c>
      <c r="E70" s="64" t="s">
        <v>1222</v>
      </c>
      <c r="F70" s="64" t="s">
        <v>1663</v>
      </c>
      <c r="G70" s="65" t="s">
        <v>1664</v>
      </c>
      <c r="H70" s="65" t="s">
        <v>1944</v>
      </c>
      <c r="I70" s="65" t="s">
        <v>1945</v>
      </c>
      <c r="J70" s="65" t="s">
        <v>1667</v>
      </c>
      <c r="K70" s="65" t="s">
        <v>1860</v>
      </c>
      <c r="L70" s="65" t="s">
        <v>1946</v>
      </c>
      <c r="M70" s="65" t="s">
        <v>1947</v>
      </c>
      <c r="N70" s="63"/>
    </row>
    <row r="71" spans="1:14" ht="12.75">
      <c r="A71" s="370"/>
      <c r="B71" s="74" t="s">
        <v>1923</v>
      </c>
      <c r="C71" s="63"/>
      <c r="D71" s="64" t="s">
        <v>1948</v>
      </c>
      <c r="E71" s="64" t="s">
        <v>1949</v>
      </c>
      <c r="F71" s="64" t="s">
        <v>1682</v>
      </c>
      <c r="G71" s="65" t="s">
        <v>1950</v>
      </c>
      <c r="H71" s="65">
        <v>6000743</v>
      </c>
      <c r="I71" s="65" t="s">
        <v>1687</v>
      </c>
      <c r="J71" s="65" t="s">
        <v>1667</v>
      </c>
      <c r="K71" s="65" t="s">
        <v>1951</v>
      </c>
      <c r="L71" s="65" t="s">
        <v>1952</v>
      </c>
      <c r="M71" s="65" t="s">
        <v>1687</v>
      </c>
      <c r="N71" s="63"/>
    </row>
    <row r="72" spans="1:14" ht="12.75">
      <c r="A72" s="370"/>
      <c r="B72" s="76" t="s">
        <v>1953</v>
      </c>
      <c r="C72" s="63"/>
      <c r="D72" s="64"/>
      <c r="E72" s="64"/>
      <c r="F72" s="66"/>
      <c r="G72" s="67"/>
      <c r="H72" s="67"/>
      <c r="I72" s="67"/>
      <c r="J72" s="67"/>
      <c r="K72" s="67"/>
      <c r="L72" s="65"/>
      <c r="M72" s="65"/>
      <c r="N72" s="63"/>
    </row>
    <row r="73" spans="1:14" ht="12.75">
      <c r="A73" s="370"/>
      <c r="B73" s="76" t="s">
        <v>1953</v>
      </c>
      <c r="C73" s="63"/>
      <c r="D73" s="64"/>
      <c r="E73" s="64"/>
      <c r="F73" s="66"/>
      <c r="G73" s="67"/>
      <c r="H73" s="67"/>
      <c r="I73" s="67"/>
      <c r="J73" s="67"/>
      <c r="K73" s="67"/>
      <c r="L73" s="65"/>
      <c r="M73" s="65"/>
      <c r="N73" s="63"/>
    </row>
    <row r="74" spans="1:14" ht="12.75">
      <c r="A74" s="370"/>
      <c r="B74" s="76" t="s">
        <v>1953</v>
      </c>
      <c r="C74" s="63"/>
      <c r="D74" s="64"/>
      <c r="E74" s="64"/>
      <c r="F74" s="66"/>
      <c r="G74" s="67"/>
      <c r="H74" s="67"/>
      <c r="I74" s="67"/>
      <c r="J74" s="67"/>
      <c r="K74" s="67"/>
      <c r="L74" s="65"/>
      <c r="M74" s="65"/>
      <c r="N74" s="63"/>
    </row>
    <row r="75" spans="1:14" ht="12.75">
      <c r="A75" s="449"/>
      <c r="B75" s="74" t="s">
        <v>1954</v>
      </c>
      <c r="C75" s="63"/>
      <c r="D75" s="64" t="s">
        <v>1955</v>
      </c>
      <c r="E75" s="64" t="s">
        <v>1956</v>
      </c>
      <c r="F75" s="64" t="s">
        <v>1673</v>
      </c>
      <c r="G75" s="65" t="s">
        <v>1674</v>
      </c>
      <c r="H75" s="65" t="s">
        <v>1957</v>
      </c>
      <c r="I75" s="65" t="s">
        <v>1958</v>
      </c>
      <c r="J75" s="65" t="s">
        <v>1673</v>
      </c>
      <c r="K75" s="65" t="s">
        <v>1928</v>
      </c>
      <c r="L75" s="65" t="s">
        <v>1959</v>
      </c>
      <c r="M75" s="65" t="s">
        <v>1960</v>
      </c>
      <c r="N75" s="63"/>
    </row>
    <row r="76" spans="1:14" ht="12.75">
      <c r="A76" s="370"/>
      <c r="B76" s="74" t="s">
        <v>1961</v>
      </c>
      <c r="C76" s="63"/>
      <c r="D76" s="64" t="s">
        <v>1962</v>
      </c>
      <c r="E76" s="64" t="s">
        <v>1963</v>
      </c>
      <c r="F76" s="64" t="s">
        <v>1663</v>
      </c>
      <c r="G76" s="65" t="s">
        <v>1964</v>
      </c>
      <c r="H76" s="65" t="s">
        <v>1965</v>
      </c>
      <c r="I76" s="65" t="s">
        <v>1966</v>
      </c>
      <c r="J76" s="65" t="s">
        <v>1667</v>
      </c>
      <c r="K76" s="65" t="s">
        <v>1860</v>
      </c>
      <c r="L76" s="65" t="s">
        <v>1967</v>
      </c>
      <c r="M76" s="65" t="s">
        <v>1968</v>
      </c>
      <c r="N76" s="63"/>
    </row>
    <row r="77" spans="1:14" ht="12.75">
      <c r="A77" s="370"/>
      <c r="B77" s="74" t="s">
        <v>1969</v>
      </c>
      <c r="C77" s="63"/>
      <c r="D77" s="64" t="s">
        <v>1970</v>
      </c>
      <c r="E77" s="64" t="s">
        <v>1971</v>
      </c>
      <c r="F77" s="64" t="s">
        <v>1673</v>
      </c>
      <c r="G77" s="65" t="s">
        <v>1674</v>
      </c>
      <c r="H77" s="65" t="s">
        <v>1972</v>
      </c>
      <c r="I77" s="65" t="s">
        <v>1973</v>
      </c>
      <c r="J77" s="65" t="s">
        <v>1673</v>
      </c>
      <c r="K77" s="65" t="s">
        <v>1928</v>
      </c>
      <c r="L77" s="65"/>
      <c r="M77" s="65" t="s">
        <v>1974</v>
      </c>
      <c r="N77" s="63"/>
    </row>
    <row r="78" spans="1:14" ht="12.75">
      <c r="A78" s="370"/>
      <c r="B78" s="77" t="s">
        <v>1969</v>
      </c>
      <c r="C78" s="63"/>
      <c r="D78" s="64" t="s">
        <v>1975</v>
      </c>
      <c r="E78" s="64" t="s">
        <v>1225</v>
      </c>
      <c r="F78" s="64" t="s">
        <v>1682</v>
      </c>
      <c r="G78" s="65" t="s">
        <v>1976</v>
      </c>
      <c r="H78" s="65" t="s">
        <v>1977</v>
      </c>
      <c r="I78" s="65" t="s">
        <v>1974</v>
      </c>
      <c r="J78" s="65" t="s">
        <v>1978</v>
      </c>
      <c r="K78" s="65" t="s">
        <v>1979</v>
      </c>
      <c r="L78" s="65" t="s">
        <v>1980</v>
      </c>
      <c r="M78" s="65" t="s">
        <v>1981</v>
      </c>
      <c r="N78" s="63"/>
    </row>
    <row r="79" spans="1:14" ht="12.75">
      <c r="A79" s="370"/>
      <c r="B79" s="74" t="s">
        <v>1982</v>
      </c>
      <c r="C79" s="63"/>
      <c r="D79" s="64" t="s">
        <v>1983</v>
      </c>
      <c r="E79" s="64" t="s">
        <v>1984</v>
      </c>
      <c r="F79" s="64" t="s">
        <v>1673</v>
      </c>
      <c r="G79" s="65" t="s">
        <v>1674</v>
      </c>
      <c r="H79" s="65" t="s">
        <v>1985</v>
      </c>
      <c r="I79" s="78" t="s">
        <v>1986</v>
      </c>
      <c r="J79" s="65" t="s">
        <v>1673</v>
      </c>
      <c r="K79" s="65" t="s">
        <v>1928</v>
      </c>
      <c r="L79" s="65" t="s">
        <v>1987</v>
      </c>
      <c r="M79" s="65" t="s">
        <v>1988</v>
      </c>
      <c r="N79" s="63"/>
    </row>
    <row r="80" spans="1:14" ht="12.75">
      <c r="A80" s="370"/>
      <c r="B80" s="74" t="s">
        <v>1989</v>
      </c>
      <c r="C80" s="63"/>
      <c r="D80" s="64" t="s">
        <v>1990</v>
      </c>
      <c r="E80" s="64" t="s">
        <v>1991</v>
      </c>
      <c r="F80" s="64" t="s">
        <v>1682</v>
      </c>
      <c r="G80" s="65">
        <v>570</v>
      </c>
      <c r="H80" s="65" t="s">
        <v>1974</v>
      </c>
      <c r="I80" s="65" t="s">
        <v>1974</v>
      </c>
      <c r="J80" s="79" t="s">
        <v>1682</v>
      </c>
      <c r="K80" s="65" t="s">
        <v>1992</v>
      </c>
      <c r="L80" s="65">
        <v>802972</v>
      </c>
      <c r="M80" s="65" t="s">
        <v>1974</v>
      </c>
      <c r="N80" s="63"/>
    </row>
    <row r="81" spans="1:14" ht="12.75">
      <c r="A81" s="370"/>
      <c r="B81" s="74" t="s">
        <v>1993</v>
      </c>
      <c r="C81" s="63"/>
      <c r="D81" s="64" t="s">
        <v>1994</v>
      </c>
      <c r="E81" s="64" t="s">
        <v>1995</v>
      </c>
      <c r="F81" s="64" t="s">
        <v>1673</v>
      </c>
      <c r="G81" s="65" t="s">
        <v>1674</v>
      </c>
      <c r="H81" s="65" t="s">
        <v>1996</v>
      </c>
      <c r="I81" s="65" t="s">
        <v>1997</v>
      </c>
      <c r="J81" s="65" t="s">
        <v>1673</v>
      </c>
      <c r="K81" s="65" t="s">
        <v>1928</v>
      </c>
      <c r="L81" s="65" t="s">
        <v>1998</v>
      </c>
      <c r="M81" s="65" t="s">
        <v>1999</v>
      </c>
      <c r="N81" s="63"/>
    </row>
    <row r="82" spans="1:14" ht="12.75">
      <c r="A82" s="370"/>
      <c r="B82" s="76" t="s">
        <v>2000</v>
      </c>
      <c r="C82" s="63"/>
      <c r="D82" s="64"/>
      <c r="E82" s="66"/>
      <c r="F82" s="64" t="s">
        <v>1673</v>
      </c>
      <c r="G82" s="65" t="s">
        <v>1674</v>
      </c>
      <c r="H82" s="65" t="s">
        <v>2001</v>
      </c>
      <c r="I82" s="65" t="s">
        <v>2002</v>
      </c>
      <c r="J82" s="67" t="s">
        <v>1673</v>
      </c>
      <c r="K82" s="65" t="s">
        <v>1928</v>
      </c>
      <c r="L82" s="65" t="s">
        <v>2003</v>
      </c>
      <c r="M82" s="65" t="s">
        <v>2004</v>
      </c>
      <c r="N82" s="63"/>
    </row>
    <row r="83" spans="1:14" ht="12.75">
      <c r="A83" s="370"/>
      <c r="B83" s="76" t="s">
        <v>2000</v>
      </c>
      <c r="C83" s="63"/>
      <c r="D83" s="64"/>
      <c r="E83" s="66"/>
      <c r="F83" s="66"/>
      <c r="G83" s="65"/>
      <c r="H83" s="67"/>
      <c r="I83" s="67"/>
      <c r="J83" s="67"/>
      <c r="K83" s="67"/>
      <c r="L83" s="65"/>
      <c r="M83" s="65"/>
      <c r="N83" s="63"/>
    </row>
    <row r="84" spans="1:14" ht="12.75">
      <c r="A84" s="370"/>
      <c r="B84" s="76" t="s">
        <v>2000</v>
      </c>
      <c r="C84" s="63"/>
      <c r="D84" s="64"/>
      <c r="E84" s="66"/>
      <c r="F84" s="66"/>
      <c r="G84" s="65"/>
      <c r="H84" s="67"/>
      <c r="I84" s="67"/>
      <c r="J84" s="67"/>
      <c r="K84" s="67"/>
      <c r="L84" s="65"/>
      <c r="M84" s="65"/>
      <c r="N84" s="63"/>
    </row>
    <row r="85" spans="1:14" ht="12.75">
      <c r="A85" s="68"/>
      <c r="B85" s="74" t="s">
        <v>2005</v>
      </c>
      <c r="C85" s="63"/>
      <c r="D85" s="64" t="s">
        <v>2006</v>
      </c>
      <c r="E85" s="64" t="s">
        <v>2007</v>
      </c>
      <c r="F85" s="64" t="s">
        <v>1663</v>
      </c>
      <c r="G85" s="65" t="s">
        <v>1664</v>
      </c>
      <c r="H85" s="65" t="s">
        <v>2008</v>
      </c>
      <c r="I85" s="65" t="s">
        <v>2009</v>
      </c>
      <c r="J85" s="65" t="s">
        <v>1667</v>
      </c>
      <c r="K85" s="65" t="s">
        <v>1668</v>
      </c>
      <c r="L85" s="65" t="s">
        <v>2010</v>
      </c>
      <c r="M85" s="65" t="s">
        <v>2011</v>
      </c>
      <c r="N85" s="63"/>
    </row>
    <row r="86" spans="1:14" ht="12.75">
      <c r="A86" s="68"/>
      <c r="B86" s="74" t="s">
        <v>2005</v>
      </c>
      <c r="C86" s="63"/>
      <c r="D86" s="64" t="s">
        <v>2012</v>
      </c>
      <c r="E86" s="64" t="s">
        <v>2013</v>
      </c>
      <c r="F86" s="64" t="s">
        <v>1673</v>
      </c>
      <c r="G86" s="65" t="s">
        <v>1674</v>
      </c>
      <c r="H86" s="65" t="s">
        <v>2014</v>
      </c>
      <c r="I86" s="65" t="s">
        <v>2015</v>
      </c>
      <c r="J86" s="65" t="s">
        <v>1673</v>
      </c>
      <c r="K86" s="65" t="s">
        <v>1928</v>
      </c>
      <c r="L86" s="65" t="s">
        <v>2016</v>
      </c>
      <c r="M86" s="65" t="s">
        <v>2017</v>
      </c>
      <c r="N86" s="63"/>
    </row>
    <row r="87" spans="1:14" ht="12.75">
      <c r="A87" s="68"/>
      <c r="B87" s="74" t="s">
        <v>2005</v>
      </c>
      <c r="C87" s="63"/>
      <c r="D87" s="64" t="s">
        <v>2018</v>
      </c>
      <c r="E87" s="64" t="s">
        <v>2019</v>
      </c>
      <c r="F87" s="64" t="s">
        <v>1673</v>
      </c>
      <c r="G87" s="65" t="s">
        <v>1674</v>
      </c>
      <c r="H87" s="65" t="s">
        <v>2020</v>
      </c>
      <c r="I87" s="65" t="s">
        <v>2021</v>
      </c>
      <c r="J87" s="65" t="s">
        <v>1673</v>
      </c>
      <c r="K87" s="65" t="s">
        <v>1677</v>
      </c>
      <c r="L87" s="65" t="s">
        <v>2022</v>
      </c>
      <c r="M87" s="65" t="s">
        <v>2023</v>
      </c>
      <c r="N87" s="63"/>
    </row>
    <row r="88" spans="1:14" ht="12.75">
      <c r="A88" s="68"/>
      <c r="B88" s="74" t="s">
        <v>2005</v>
      </c>
      <c r="C88" s="63"/>
      <c r="D88" s="64" t="s">
        <v>2024</v>
      </c>
      <c r="E88" s="64" t="s">
        <v>2025</v>
      </c>
      <c r="F88" s="64" t="s">
        <v>1673</v>
      </c>
      <c r="G88" s="65" t="s">
        <v>1674</v>
      </c>
      <c r="H88" s="65" t="s">
        <v>2026</v>
      </c>
      <c r="I88" s="65" t="s">
        <v>2027</v>
      </c>
      <c r="J88" s="65" t="s">
        <v>1673</v>
      </c>
      <c r="K88" s="65" t="s">
        <v>1928</v>
      </c>
      <c r="L88" s="65" t="s">
        <v>2028</v>
      </c>
      <c r="M88" s="65" t="s">
        <v>2029</v>
      </c>
      <c r="N88" s="63"/>
    </row>
    <row r="89" spans="1:14" ht="12.75">
      <c r="A89" s="68"/>
      <c r="B89" s="76" t="s">
        <v>2030</v>
      </c>
      <c r="C89" s="63"/>
      <c r="D89" s="64"/>
      <c r="E89" s="64"/>
      <c r="F89" s="64"/>
      <c r="G89" s="67"/>
      <c r="H89" s="65"/>
      <c r="I89" s="65"/>
      <c r="J89" s="65"/>
      <c r="K89" s="65"/>
      <c r="L89" s="65"/>
      <c r="M89" s="65"/>
      <c r="N89" s="63"/>
    </row>
    <row r="90" spans="1:14" ht="12.75">
      <c r="A90" s="68"/>
      <c r="B90" s="76" t="s">
        <v>2030</v>
      </c>
      <c r="C90" s="63"/>
      <c r="D90" s="64"/>
      <c r="E90" s="64"/>
      <c r="F90" s="64"/>
      <c r="G90" s="67"/>
      <c r="H90" s="65"/>
      <c r="I90" s="65"/>
      <c r="J90" s="65"/>
      <c r="K90" s="65"/>
      <c r="L90" s="65"/>
      <c r="M90" s="65"/>
      <c r="N90" s="63"/>
    </row>
    <row r="91" spans="1:14" ht="12.75">
      <c r="A91" s="68"/>
      <c r="B91" s="76" t="s">
        <v>2030</v>
      </c>
      <c r="C91" s="63"/>
      <c r="D91" s="64"/>
      <c r="E91" s="64"/>
      <c r="F91" s="64"/>
      <c r="G91" s="67"/>
      <c r="H91" s="65"/>
      <c r="I91" s="65"/>
      <c r="J91" s="65"/>
      <c r="K91" s="65"/>
      <c r="L91" s="65"/>
      <c r="M91" s="65"/>
      <c r="N91" s="63"/>
    </row>
    <row r="92" spans="1:14" ht="12.75">
      <c r="A92" s="68"/>
      <c r="B92" s="74" t="s">
        <v>2031</v>
      </c>
      <c r="C92" s="63"/>
      <c r="D92" s="64" t="s">
        <v>2032</v>
      </c>
      <c r="E92" s="66"/>
      <c r="F92" s="64" t="s">
        <v>1663</v>
      </c>
      <c r="G92" s="65"/>
      <c r="H92" s="65"/>
      <c r="I92" s="65"/>
      <c r="J92" s="65"/>
      <c r="K92" s="65"/>
      <c r="L92" s="65"/>
      <c r="M92" s="65"/>
      <c r="N92" s="63"/>
    </row>
    <row r="93" spans="1:14" ht="12.75">
      <c r="A93" s="68"/>
      <c r="B93" s="74" t="s">
        <v>2033</v>
      </c>
      <c r="C93" s="63"/>
      <c r="D93" s="64" t="s">
        <v>2034</v>
      </c>
      <c r="E93" s="64" t="s">
        <v>2035</v>
      </c>
      <c r="F93" s="66"/>
      <c r="G93" s="67"/>
      <c r="H93" s="67"/>
      <c r="I93" s="67"/>
      <c r="J93" s="67"/>
      <c r="K93" s="67"/>
      <c r="L93" s="65"/>
      <c r="M93" s="65"/>
      <c r="N93" s="63"/>
    </row>
    <row r="94" spans="1:14" ht="12.75">
      <c r="A94" s="68"/>
      <c r="B94" s="74" t="s">
        <v>2036</v>
      </c>
      <c r="C94" s="63"/>
      <c r="D94" s="64" t="s">
        <v>2037</v>
      </c>
      <c r="E94" s="66"/>
      <c r="F94" s="66"/>
      <c r="G94" s="67"/>
      <c r="H94" s="67"/>
      <c r="I94" s="67"/>
      <c r="J94" s="67"/>
      <c r="K94" s="67"/>
      <c r="L94" s="65"/>
      <c r="M94" s="65"/>
      <c r="N94" s="63"/>
    </row>
    <row r="95" spans="1:14" ht="12.75">
      <c r="A95" s="68"/>
      <c r="B95" s="70" t="s">
        <v>2036</v>
      </c>
      <c r="C95" s="63"/>
      <c r="D95" s="64" t="s">
        <v>2037</v>
      </c>
      <c r="E95" s="66"/>
      <c r="F95" s="64"/>
      <c r="G95" s="65"/>
      <c r="H95" s="65"/>
      <c r="I95" s="65"/>
      <c r="J95" s="65"/>
      <c r="K95" s="65"/>
      <c r="L95" s="65"/>
      <c r="M95" s="65"/>
      <c r="N95" s="63"/>
    </row>
    <row r="96" spans="1:14" ht="12.75">
      <c r="A96" s="68"/>
      <c r="B96" s="76" t="s">
        <v>2036</v>
      </c>
      <c r="C96" s="63"/>
      <c r="D96" s="64" t="s">
        <v>2038</v>
      </c>
      <c r="E96" s="64" t="s">
        <v>2039</v>
      </c>
      <c r="F96" s="64" t="s">
        <v>1663</v>
      </c>
      <c r="G96" s="65" t="s">
        <v>2040</v>
      </c>
      <c r="H96" s="65" t="s">
        <v>2041</v>
      </c>
      <c r="I96" s="65" t="s">
        <v>2042</v>
      </c>
      <c r="J96" s="65" t="s">
        <v>1667</v>
      </c>
      <c r="K96" s="65" t="s">
        <v>1668</v>
      </c>
      <c r="L96" s="65" t="s">
        <v>2043</v>
      </c>
      <c r="M96" s="65" t="s">
        <v>2044</v>
      </c>
      <c r="N96" s="63"/>
    </row>
    <row r="97" spans="1:14" ht="12.75">
      <c r="A97" s="68"/>
      <c r="B97" s="76" t="s">
        <v>2045</v>
      </c>
      <c r="C97" s="63"/>
      <c r="D97" s="64"/>
      <c r="E97" s="64"/>
      <c r="F97" s="64"/>
      <c r="G97" s="65"/>
      <c r="H97" s="65"/>
      <c r="I97" s="65"/>
      <c r="J97" s="65"/>
      <c r="K97" s="65"/>
      <c r="L97" s="65"/>
      <c r="M97" s="65"/>
      <c r="N97" s="63"/>
    </row>
    <row r="98" spans="1:14" ht="12.75">
      <c r="A98" s="68"/>
      <c r="B98" s="76" t="s">
        <v>2045</v>
      </c>
      <c r="C98" s="63"/>
      <c r="D98" s="64"/>
      <c r="E98" s="66"/>
      <c r="F98" s="66"/>
      <c r="G98" s="67"/>
      <c r="H98" s="67"/>
      <c r="I98" s="67"/>
      <c r="J98" s="67"/>
      <c r="K98" s="67"/>
      <c r="L98" s="65"/>
      <c r="M98" s="65"/>
      <c r="N98" s="63"/>
    </row>
    <row r="99" spans="1:14" ht="12.75">
      <c r="A99" s="68"/>
      <c r="B99" s="76" t="s">
        <v>2045</v>
      </c>
      <c r="C99" s="63"/>
      <c r="D99" s="64"/>
      <c r="E99" s="66"/>
      <c r="F99" s="66"/>
      <c r="G99" s="67"/>
      <c r="H99" s="67"/>
      <c r="I99" s="67"/>
      <c r="J99" s="67"/>
      <c r="K99" s="67"/>
      <c r="L99" s="65"/>
      <c r="M99" s="65"/>
      <c r="N99" s="63"/>
    </row>
    <row r="100" spans="1:14" ht="12.75">
      <c r="A100" s="68"/>
      <c r="B100" s="76" t="s">
        <v>2045</v>
      </c>
      <c r="C100" s="63"/>
      <c r="D100" s="64"/>
      <c r="E100" s="66"/>
      <c r="F100" s="66"/>
      <c r="G100" s="67"/>
      <c r="H100" s="67"/>
      <c r="I100" s="67"/>
      <c r="J100" s="67"/>
      <c r="K100" s="67"/>
      <c r="L100" s="65"/>
      <c r="M100" s="65"/>
      <c r="N100" s="63"/>
    </row>
    <row r="101" spans="1:14" ht="12.75">
      <c r="A101" s="68"/>
      <c r="B101" s="74" t="s">
        <v>2046</v>
      </c>
      <c r="C101" s="63"/>
      <c r="D101" s="64" t="s">
        <v>2047</v>
      </c>
      <c r="E101" s="64" t="s">
        <v>2048</v>
      </c>
      <c r="F101" s="64" t="s">
        <v>1818</v>
      </c>
      <c r="G101" s="65" t="s">
        <v>1819</v>
      </c>
      <c r="H101" s="65">
        <v>9290219</v>
      </c>
      <c r="I101" s="65" t="s">
        <v>2049</v>
      </c>
      <c r="J101" s="65" t="s">
        <v>1682</v>
      </c>
      <c r="K101" s="65" t="s">
        <v>1837</v>
      </c>
      <c r="L101" s="65">
        <v>30469816</v>
      </c>
      <c r="M101" s="65" t="s">
        <v>1687</v>
      </c>
      <c r="N101" s="63"/>
    </row>
    <row r="102" spans="1:14" ht="12.75">
      <c r="A102" s="68"/>
      <c r="B102" s="74" t="s">
        <v>2046</v>
      </c>
      <c r="C102" s="63"/>
      <c r="D102" s="64" t="s">
        <v>2050</v>
      </c>
      <c r="E102" s="64" t="s">
        <v>2051</v>
      </c>
      <c r="F102" s="64" t="s">
        <v>1818</v>
      </c>
      <c r="G102" s="65" t="s">
        <v>1819</v>
      </c>
      <c r="H102" s="65">
        <v>9290009</v>
      </c>
      <c r="I102" s="65" t="s">
        <v>2052</v>
      </c>
      <c r="J102" s="65" t="s">
        <v>1682</v>
      </c>
      <c r="K102" s="65" t="s">
        <v>1837</v>
      </c>
      <c r="L102" s="65">
        <v>30812233</v>
      </c>
      <c r="M102" s="65" t="s">
        <v>2053</v>
      </c>
      <c r="N102" s="63"/>
    </row>
    <row r="103" spans="1:14" ht="12.75">
      <c r="A103" s="68"/>
      <c r="B103" s="74" t="s">
        <v>2046</v>
      </c>
      <c r="C103" s="63"/>
      <c r="D103" s="64" t="s">
        <v>2054</v>
      </c>
      <c r="E103" s="64" t="s">
        <v>2055</v>
      </c>
      <c r="F103" s="64" t="s">
        <v>1673</v>
      </c>
      <c r="G103" s="65" t="s">
        <v>1674</v>
      </c>
      <c r="H103" s="65" t="s">
        <v>2056</v>
      </c>
      <c r="I103" s="65" t="s">
        <v>2057</v>
      </c>
      <c r="J103" s="65" t="s">
        <v>1673</v>
      </c>
      <c r="K103" s="65" t="s">
        <v>1928</v>
      </c>
      <c r="L103" s="65" t="s">
        <v>2058</v>
      </c>
      <c r="M103" s="65" t="s">
        <v>2059</v>
      </c>
      <c r="N103" s="63"/>
    </row>
    <row r="104" spans="1:14" ht="12.75">
      <c r="A104" s="68"/>
      <c r="B104" s="74" t="s">
        <v>2046</v>
      </c>
      <c r="C104" s="63"/>
      <c r="D104" s="64" t="s">
        <v>2060</v>
      </c>
      <c r="E104" s="64" t="s">
        <v>2061</v>
      </c>
      <c r="F104" s="64" t="s">
        <v>1673</v>
      </c>
      <c r="G104" s="65" t="s">
        <v>1674</v>
      </c>
      <c r="H104" s="65" t="s">
        <v>2062</v>
      </c>
      <c r="I104" s="65" t="s">
        <v>2063</v>
      </c>
      <c r="J104" s="65" t="s">
        <v>1673</v>
      </c>
      <c r="K104" s="65" t="s">
        <v>1928</v>
      </c>
      <c r="L104" s="65" t="s">
        <v>2064</v>
      </c>
      <c r="M104" s="65" t="s">
        <v>2065</v>
      </c>
      <c r="N104" s="63"/>
    </row>
    <row r="105" spans="1:14" ht="12.75">
      <c r="A105" s="68"/>
      <c r="B105" s="74" t="s">
        <v>2046</v>
      </c>
      <c r="C105" s="63"/>
      <c r="D105" s="64" t="s">
        <v>2066</v>
      </c>
      <c r="E105" s="64" t="s">
        <v>2067</v>
      </c>
      <c r="F105" s="64" t="s">
        <v>1663</v>
      </c>
      <c r="G105" s="65" t="s">
        <v>2040</v>
      </c>
      <c r="H105" s="65" t="s">
        <v>2068</v>
      </c>
      <c r="I105" s="65" t="s">
        <v>2069</v>
      </c>
      <c r="J105" s="65" t="s">
        <v>1667</v>
      </c>
      <c r="K105" s="65" t="s">
        <v>1668</v>
      </c>
      <c r="L105" s="65" t="s">
        <v>2070</v>
      </c>
      <c r="M105" s="65" t="s">
        <v>2071</v>
      </c>
      <c r="N105" s="63"/>
    </row>
    <row r="106" spans="1:14" ht="12.75">
      <c r="A106" s="68"/>
      <c r="B106" s="74" t="s">
        <v>2046</v>
      </c>
      <c r="C106" s="63"/>
      <c r="D106" s="64" t="s">
        <v>2072</v>
      </c>
      <c r="E106" s="64" t="s">
        <v>2073</v>
      </c>
      <c r="F106" s="64" t="s">
        <v>1682</v>
      </c>
      <c r="G106" s="65" t="s">
        <v>2074</v>
      </c>
      <c r="H106" s="65" t="s">
        <v>2075</v>
      </c>
      <c r="I106" s="65" t="s">
        <v>2076</v>
      </c>
      <c r="J106" s="65" t="s">
        <v>1682</v>
      </c>
      <c r="K106" s="65" t="s">
        <v>2077</v>
      </c>
      <c r="L106" s="65" t="s">
        <v>2078</v>
      </c>
      <c r="M106" s="65" t="s">
        <v>2079</v>
      </c>
      <c r="N106" s="63"/>
    </row>
    <row r="107" spans="1:14" ht="12.75">
      <c r="A107" s="68"/>
      <c r="B107" s="76" t="s">
        <v>2080</v>
      </c>
      <c r="C107" s="63"/>
      <c r="D107" s="64"/>
      <c r="E107" s="64"/>
      <c r="F107" s="64"/>
      <c r="G107" s="65"/>
      <c r="H107" s="65"/>
      <c r="I107" s="65"/>
      <c r="J107" s="65"/>
      <c r="K107" s="65"/>
      <c r="L107" s="65"/>
      <c r="M107" s="65"/>
      <c r="N107" s="63"/>
    </row>
    <row r="108" spans="1:14" ht="12.75">
      <c r="A108" s="68"/>
      <c r="B108" s="76" t="s">
        <v>2080</v>
      </c>
      <c r="C108" s="63"/>
      <c r="D108" s="64"/>
      <c r="E108" s="64"/>
      <c r="F108" s="64"/>
      <c r="G108" s="65"/>
      <c r="H108" s="65"/>
      <c r="I108" s="65"/>
      <c r="J108" s="65"/>
      <c r="K108" s="65"/>
      <c r="L108" s="65"/>
      <c r="M108" s="65"/>
      <c r="N108" s="63"/>
    </row>
    <row r="109" spans="1:14" ht="12.75">
      <c r="A109" s="68"/>
      <c r="B109" s="76" t="s">
        <v>2080</v>
      </c>
      <c r="C109" s="63"/>
      <c r="D109" s="64"/>
      <c r="E109" s="64"/>
      <c r="F109" s="64"/>
      <c r="G109" s="65"/>
      <c r="H109" s="65"/>
      <c r="I109" s="65"/>
      <c r="J109" s="65"/>
      <c r="K109" s="65"/>
      <c r="L109" s="65"/>
      <c r="M109" s="65"/>
      <c r="N109" s="63"/>
    </row>
    <row r="110" spans="1:14" ht="12.75">
      <c r="A110" s="68"/>
      <c r="B110" s="74" t="s">
        <v>2081</v>
      </c>
      <c r="C110" s="63"/>
      <c r="D110" s="64" t="s">
        <v>2082</v>
      </c>
      <c r="E110" s="64" t="s">
        <v>2083</v>
      </c>
      <c r="F110" s="64" t="s">
        <v>1682</v>
      </c>
      <c r="G110" s="65" t="s">
        <v>1683</v>
      </c>
      <c r="H110" s="65" t="s">
        <v>2084</v>
      </c>
      <c r="I110" s="67"/>
      <c r="J110" s="65" t="s">
        <v>1682</v>
      </c>
      <c r="K110" s="65" t="s">
        <v>2085</v>
      </c>
      <c r="L110" s="65">
        <v>10802938</v>
      </c>
      <c r="M110" s="65"/>
      <c r="N110" s="63"/>
    </row>
    <row r="111" spans="1:14" ht="12.75">
      <c r="A111" s="68"/>
      <c r="B111" s="74" t="s">
        <v>2081</v>
      </c>
      <c r="C111" s="63"/>
      <c r="D111" s="64" t="s">
        <v>2086</v>
      </c>
      <c r="E111" s="64" t="s">
        <v>2087</v>
      </c>
      <c r="F111" s="64" t="s">
        <v>1673</v>
      </c>
      <c r="G111" s="65" t="s">
        <v>1674</v>
      </c>
      <c r="H111" s="65" t="s">
        <v>2088</v>
      </c>
      <c r="I111" s="65" t="s">
        <v>2089</v>
      </c>
      <c r="J111" s="65" t="s">
        <v>1673</v>
      </c>
      <c r="K111" s="65" t="s">
        <v>1928</v>
      </c>
      <c r="L111" s="65" t="s">
        <v>2090</v>
      </c>
      <c r="M111" s="65" t="s">
        <v>2091</v>
      </c>
      <c r="N111" s="63"/>
    </row>
    <row r="112" spans="1:14" ht="12.75">
      <c r="A112" s="68"/>
      <c r="B112" s="74" t="s">
        <v>2081</v>
      </c>
      <c r="C112" s="63"/>
      <c r="D112" s="64" t="s">
        <v>2092</v>
      </c>
      <c r="E112" s="64" t="s">
        <v>2093</v>
      </c>
      <c r="F112" s="64" t="s">
        <v>1673</v>
      </c>
      <c r="G112" s="65" t="s">
        <v>1674</v>
      </c>
      <c r="H112" s="65" t="s">
        <v>2094</v>
      </c>
      <c r="I112" s="65" t="s">
        <v>2095</v>
      </c>
      <c r="J112" s="65" t="s">
        <v>1673</v>
      </c>
      <c r="K112" s="65" t="s">
        <v>1928</v>
      </c>
      <c r="L112" s="65" t="s">
        <v>2096</v>
      </c>
      <c r="M112" s="65" t="s">
        <v>2097</v>
      </c>
      <c r="N112" s="63"/>
    </row>
    <row r="113" spans="1:14" ht="12.75">
      <c r="A113" s="68"/>
      <c r="B113" s="74" t="s">
        <v>2081</v>
      </c>
      <c r="C113" s="63"/>
      <c r="D113" s="64" t="s">
        <v>2098</v>
      </c>
      <c r="E113" s="64" t="s">
        <v>2099</v>
      </c>
      <c r="F113" s="64" t="s">
        <v>1673</v>
      </c>
      <c r="G113" s="65" t="s">
        <v>1674</v>
      </c>
      <c r="H113" s="65" t="s">
        <v>2100</v>
      </c>
      <c r="I113" s="65" t="s">
        <v>2101</v>
      </c>
      <c r="J113" s="65" t="s">
        <v>1673</v>
      </c>
      <c r="K113" s="65" t="s">
        <v>1928</v>
      </c>
      <c r="L113" s="65" t="s">
        <v>2102</v>
      </c>
      <c r="M113" s="65" t="s">
        <v>2103</v>
      </c>
      <c r="N113" s="63"/>
    </row>
    <row r="114" spans="1:14" ht="12.75">
      <c r="A114" s="68"/>
      <c r="B114" s="74" t="s">
        <v>2081</v>
      </c>
      <c r="C114" s="63"/>
      <c r="D114" s="64" t="s">
        <v>2104</v>
      </c>
      <c r="E114" s="64" t="s">
        <v>2105</v>
      </c>
      <c r="F114" s="64" t="s">
        <v>1663</v>
      </c>
      <c r="G114" s="65" t="s">
        <v>2106</v>
      </c>
      <c r="H114" s="65" t="s">
        <v>2107</v>
      </c>
      <c r="I114" s="65" t="s">
        <v>2108</v>
      </c>
      <c r="J114" s="65" t="s">
        <v>1667</v>
      </c>
      <c r="K114" s="65" t="s">
        <v>2109</v>
      </c>
      <c r="L114" s="65" t="s">
        <v>2110</v>
      </c>
      <c r="M114" s="65" t="s">
        <v>2111</v>
      </c>
      <c r="N114" s="63"/>
    </row>
    <row r="115" spans="1:14" ht="12.75">
      <c r="A115" s="68"/>
      <c r="B115" s="80" t="s">
        <v>2112</v>
      </c>
      <c r="C115" s="63"/>
      <c r="D115" s="64"/>
      <c r="E115" s="66"/>
      <c r="F115" s="66"/>
      <c r="G115" s="67"/>
      <c r="H115" s="67"/>
      <c r="I115" s="67"/>
      <c r="J115" s="67"/>
      <c r="K115" s="67"/>
      <c r="L115" s="65"/>
      <c r="M115" s="65"/>
      <c r="N115" s="63"/>
    </row>
    <row r="116" spans="1:14" ht="12.75">
      <c r="A116" s="68"/>
      <c r="B116" s="80" t="s">
        <v>2112</v>
      </c>
      <c r="C116" s="63"/>
      <c r="D116" s="64"/>
      <c r="E116" s="66"/>
      <c r="F116" s="66"/>
      <c r="G116" s="67"/>
      <c r="H116" s="67"/>
      <c r="I116" s="67"/>
      <c r="J116" s="67"/>
      <c r="K116" s="67"/>
      <c r="L116" s="65"/>
      <c r="M116" s="65"/>
      <c r="N116" s="63"/>
    </row>
    <row r="117" spans="1:14" ht="12.75">
      <c r="A117" s="68"/>
      <c r="B117" s="81" t="s">
        <v>2112</v>
      </c>
      <c r="C117" s="63"/>
      <c r="D117" s="64"/>
      <c r="E117" s="66"/>
      <c r="F117" s="66"/>
      <c r="G117" s="67"/>
      <c r="H117" s="67"/>
      <c r="I117" s="67"/>
      <c r="J117" s="67"/>
      <c r="K117" s="67"/>
      <c r="L117" s="65"/>
      <c r="M117" s="65"/>
      <c r="N117" s="63"/>
    </row>
    <row r="118" spans="1:14" ht="12.75">
      <c r="A118" s="68"/>
      <c r="B118" s="74" t="s">
        <v>2113</v>
      </c>
      <c r="C118" s="63"/>
      <c r="D118" s="64" t="s">
        <v>2114</v>
      </c>
      <c r="E118" s="64" t="s">
        <v>2115</v>
      </c>
      <c r="F118" s="64" t="s">
        <v>1682</v>
      </c>
      <c r="G118" s="65" t="s">
        <v>2074</v>
      </c>
      <c r="H118" s="65" t="s">
        <v>2116</v>
      </c>
      <c r="I118" s="65" t="s">
        <v>2117</v>
      </c>
      <c r="J118" s="65" t="s">
        <v>1682</v>
      </c>
      <c r="K118" s="65" t="s">
        <v>2077</v>
      </c>
      <c r="L118" s="65" t="s">
        <v>2118</v>
      </c>
      <c r="M118" s="65" t="s">
        <v>2119</v>
      </c>
      <c r="N118" s="63"/>
    </row>
    <row r="119" spans="1:14" ht="12.75">
      <c r="A119" s="68"/>
      <c r="B119" s="74" t="s">
        <v>2113</v>
      </c>
      <c r="C119" s="63"/>
      <c r="D119" s="64" t="s">
        <v>2120</v>
      </c>
      <c r="E119" s="64" t="s">
        <v>2121</v>
      </c>
      <c r="F119" s="64" t="s">
        <v>1673</v>
      </c>
      <c r="G119" s="65" t="s">
        <v>1673</v>
      </c>
      <c r="H119" s="65" t="s">
        <v>2122</v>
      </c>
      <c r="I119" s="65" t="s">
        <v>2123</v>
      </c>
      <c r="J119" s="65" t="s">
        <v>1673</v>
      </c>
      <c r="K119" s="65" t="s">
        <v>1928</v>
      </c>
      <c r="L119" s="65" t="s">
        <v>2124</v>
      </c>
      <c r="M119" s="65" t="s">
        <v>2125</v>
      </c>
      <c r="N119" s="63"/>
    </row>
    <row r="120" spans="1:14" ht="12.75">
      <c r="A120" s="68"/>
      <c r="B120" s="74" t="s">
        <v>2113</v>
      </c>
      <c r="C120" s="63"/>
      <c r="D120" s="64" t="s">
        <v>2126</v>
      </c>
      <c r="E120" s="64" t="s">
        <v>2127</v>
      </c>
      <c r="F120" s="64" t="s">
        <v>1682</v>
      </c>
      <c r="G120" s="65" t="s">
        <v>1683</v>
      </c>
      <c r="H120" s="65" t="s">
        <v>2128</v>
      </c>
      <c r="I120" s="65" t="s">
        <v>2129</v>
      </c>
      <c r="J120" s="65" t="s">
        <v>2130</v>
      </c>
      <c r="K120" s="65" t="s">
        <v>2131</v>
      </c>
      <c r="L120" s="65" t="s">
        <v>2132</v>
      </c>
      <c r="M120" s="65" t="s">
        <v>1687</v>
      </c>
      <c r="N120" s="63"/>
    </row>
    <row r="121" spans="1:14" ht="12.75">
      <c r="A121" s="68"/>
      <c r="B121" s="74" t="s">
        <v>2113</v>
      </c>
      <c r="C121" s="63"/>
      <c r="D121" s="64" t="s">
        <v>2133</v>
      </c>
      <c r="E121" s="64" t="s">
        <v>2134</v>
      </c>
      <c r="F121" s="64" t="s">
        <v>1663</v>
      </c>
      <c r="G121" s="65" t="s">
        <v>1664</v>
      </c>
      <c r="H121" s="65" t="s">
        <v>2135</v>
      </c>
      <c r="I121" s="65" t="s">
        <v>2136</v>
      </c>
      <c r="J121" s="65" t="s">
        <v>1667</v>
      </c>
      <c r="K121" s="65" t="s">
        <v>2109</v>
      </c>
      <c r="L121" s="65" t="s">
        <v>2137</v>
      </c>
      <c r="M121" s="65" t="s">
        <v>2011</v>
      </c>
      <c r="N121" s="63"/>
    </row>
    <row r="122" spans="1:14" ht="12.75">
      <c r="A122" s="68"/>
      <c r="B122" s="74" t="s">
        <v>2113</v>
      </c>
      <c r="C122" s="63"/>
      <c r="D122" s="64" t="s">
        <v>2138</v>
      </c>
      <c r="E122" s="64" t="s">
        <v>2139</v>
      </c>
      <c r="F122" s="64" t="s">
        <v>1673</v>
      </c>
      <c r="G122" s="65" t="s">
        <v>1673</v>
      </c>
      <c r="H122" s="65" t="s">
        <v>2140</v>
      </c>
      <c r="I122" s="65" t="s">
        <v>2141</v>
      </c>
      <c r="J122" s="65" t="s">
        <v>1673</v>
      </c>
      <c r="K122" s="65" t="s">
        <v>1928</v>
      </c>
      <c r="L122" s="65" t="s">
        <v>2142</v>
      </c>
      <c r="M122" s="65" t="s">
        <v>2143</v>
      </c>
      <c r="N122" s="63"/>
    </row>
    <row r="123" spans="1:14" ht="12.75">
      <c r="A123" s="68"/>
      <c r="B123" s="74" t="s">
        <v>2113</v>
      </c>
      <c r="C123" s="63"/>
      <c r="D123" s="64" t="s">
        <v>2144</v>
      </c>
      <c r="E123" s="64" t="s">
        <v>2145</v>
      </c>
      <c r="F123" s="64" t="s">
        <v>1673</v>
      </c>
      <c r="G123" s="65" t="s">
        <v>1673</v>
      </c>
      <c r="H123" s="65" t="s">
        <v>2146</v>
      </c>
      <c r="I123" s="65" t="s">
        <v>2147</v>
      </c>
      <c r="J123" s="65" t="s">
        <v>1673</v>
      </c>
      <c r="K123" s="65" t="s">
        <v>1928</v>
      </c>
      <c r="L123" s="65" t="s">
        <v>2148</v>
      </c>
      <c r="M123" s="65" t="s">
        <v>2149</v>
      </c>
      <c r="N123" s="63"/>
    </row>
    <row r="124" spans="1:14" ht="12.75">
      <c r="A124" s="68"/>
      <c r="B124" s="76" t="s">
        <v>2150</v>
      </c>
      <c r="C124" s="63"/>
      <c r="D124" s="64"/>
      <c r="E124" s="64"/>
      <c r="F124" s="64"/>
      <c r="G124" s="65"/>
      <c r="H124" s="67"/>
      <c r="I124" s="67"/>
      <c r="J124" s="65"/>
      <c r="K124" s="65"/>
      <c r="L124" s="65"/>
      <c r="M124" s="65"/>
      <c r="N124" s="63"/>
    </row>
    <row r="125" spans="1:14" ht="12.75">
      <c r="A125" s="68"/>
      <c r="B125" s="76" t="s">
        <v>2150</v>
      </c>
      <c r="C125" s="63"/>
      <c r="D125" s="64"/>
      <c r="E125" s="64"/>
      <c r="F125" s="64"/>
      <c r="G125" s="65"/>
      <c r="H125" s="67"/>
      <c r="I125" s="67"/>
      <c r="J125" s="65"/>
      <c r="K125" s="65"/>
      <c r="L125" s="65"/>
      <c r="M125" s="65"/>
      <c r="N125" s="63"/>
    </row>
    <row r="126" spans="1:14" ht="12.75">
      <c r="A126" s="68"/>
      <c r="B126" s="76" t="s">
        <v>2150</v>
      </c>
      <c r="C126" s="63"/>
      <c r="D126" s="64"/>
      <c r="E126" s="64"/>
      <c r="F126" s="64"/>
      <c r="G126" s="65"/>
      <c r="H126" s="67"/>
      <c r="I126" s="67"/>
      <c r="J126" s="65"/>
      <c r="K126" s="65"/>
      <c r="L126" s="65"/>
      <c r="M126" s="65"/>
      <c r="N126" s="63"/>
    </row>
    <row r="127" spans="1:14" ht="12.75">
      <c r="A127" s="68"/>
      <c r="B127" s="74" t="s">
        <v>2151</v>
      </c>
      <c r="C127" s="63"/>
      <c r="D127" s="64" t="s">
        <v>2152</v>
      </c>
      <c r="E127" s="64" t="s">
        <v>2153</v>
      </c>
      <c r="F127" s="64" t="s">
        <v>1682</v>
      </c>
      <c r="G127" s="65" t="s">
        <v>2074</v>
      </c>
      <c r="H127" s="65" t="s">
        <v>2154</v>
      </c>
      <c r="I127" s="67" t="s">
        <v>2155</v>
      </c>
      <c r="J127" s="65" t="s">
        <v>1682</v>
      </c>
      <c r="K127" s="65" t="s">
        <v>2156</v>
      </c>
      <c r="L127" s="65" t="s">
        <v>2157</v>
      </c>
      <c r="M127" s="65" t="s">
        <v>2158</v>
      </c>
      <c r="N127" s="63"/>
    </row>
    <row r="128" spans="1:14" ht="12.75">
      <c r="A128" s="68"/>
      <c r="B128" s="74" t="s">
        <v>2151</v>
      </c>
      <c r="C128" s="63"/>
      <c r="D128" s="64" t="s">
        <v>2159</v>
      </c>
      <c r="E128" s="64" t="s">
        <v>2160</v>
      </c>
      <c r="F128" s="64" t="s">
        <v>1673</v>
      </c>
      <c r="G128" s="65" t="s">
        <v>2161</v>
      </c>
      <c r="H128" s="67" t="s">
        <v>2162</v>
      </c>
      <c r="I128" s="67" t="s">
        <v>2163</v>
      </c>
      <c r="J128" s="65" t="s">
        <v>1673</v>
      </c>
      <c r="K128" s="65" t="s">
        <v>1928</v>
      </c>
      <c r="L128" s="65" t="s">
        <v>2164</v>
      </c>
      <c r="M128" s="65" t="s">
        <v>2165</v>
      </c>
      <c r="N128" s="63"/>
    </row>
    <row r="129" spans="1:14" ht="12.75">
      <c r="A129" s="68"/>
      <c r="B129" s="74" t="s">
        <v>2151</v>
      </c>
      <c r="C129" s="63"/>
      <c r="D129" s="64" t="s">
        <v>2166</v>
      </c>
      <c r="E129" s="64" t="s">
        <v>2167</v>
      </c>
      <c r="F129" s="64" t="s">
        <v>1663</v>
      </c>
      <c r="G129" s="65" t="s">
        <v>1664</v>
      </c>
      <c r="H129" s="67" t="s">
        <v>2168</v>
      </c>
      <c r="I129" s="67" t="s">
        <v>2169</v>
      </c>
      <c r="J129" s="65" t="s">
        <v>1667</v>
      </c>
      <c r="K129" s="65" t="s">
        <v>2109</v>
      </c>
      <c r="L129" s="65" t="s">
        <v>2170</v>
      </c>
      <c r="M129" s="65" t="s">
        <v>2171</v>
      </c>
      <c r="N129" s="63"/>
    </row>
    <row r="130" spans="1:14" ht="12.75">
      <c r="A130" s="68"/>
      <c r="B130" s="74" t="s">
        <v>2151</v>
      </c>
      <c r="C130" s="63"/>
      <c r="D130" s="64" t="s">
        <v>2172</v>
      </c>
      <c r="E130" s="64" t="s">
        <v>2160</v>
      </c>
      <c r="F130" s="64" t="s">
        <v>1682</v>
      </c>
      <c r="G130" s="65" t="s">
        <v>2074</v>
      </c>
      <c r="H130" s="67" t="s">
        <v>2173</v>
      </c>
      <c r="I130" s="67"/>
      <c r="J130" s="65" t="s">
        <v>1682</v>
      </c>
      <c r="K130" s="65" t="s">
        <v>2174</v>
      </c>
      <c r="L130" s="65">
        <v>30469208</v>
      </c>
      <c r="M130" s="65"/>
      <c r="N130" s="63"/>
    </row>
    <row r="131" spans="1:14" ht="12.75">
      <c r="A131" s="68"/>
      <c r="B131" s="76" t="s">
        <v>2175</v>
      </c>
      <c r="C131" s="63"/>
      <c r="D131" s="64"/>
      <c r="E131" s="66"/>
      <c r="F131" s="66"/>
      <c r="G131" s="67"/>
      <c r="H131" s="67"/>
      <c r="I131" s="67"/>
      <c r="J131" s="67"/>
      <c r="K131" s="67"/>
      <c r="L131" s="65"/>
      <c r="M131" s="65"/>
      <c r="N131" s="63"/>
    </row>
    <row r="132" spans="1:14" ht="12.75">
      <c r="A132" s="68"/>
      <c r="B132" s="76" t="s">
        <v>2175</v>
      </c>
      <c r="C132" s="63"/>
      <c r="D132" s="64"/>
      <c r="E132" s="66"/>
      <c r="F132" s="66"/>
      <c r="G132" s="67"/>
      <c r="H132" s="67"/>
      <c r="I132" s="67"/>
      <c r="J132" s="67"/>
      <c r="K132" s="67"/>
      <c r="L132" s="65"/>
      <c r="M132" s="65"/>
      <c r="N132" s="63"/>
    </row>
    <row r="133" spans="1:14" ht="12.75">
      <c r="A133" s="68"/>
      <c r="B133" s="76" t="s">
        <v>2175</v>
      </c>
      <c r="C133" s="63"/>
      <c r="D133" s="64"/>
      <c r="E133" s="66"/>
      <c r="F133" s="66"/>
      <c r="G133" s="67"/>
      <c r="H133" s="67"/>
      <c r="I133" s="67"/>
      <c r="J133" s="67"/>
      <c r="K133" s="67"/>
      <c r="L133" s="65"/>
      <c r="M133" s="65"/>
      <c r="N133" s="63"/>
    </row>
    <row r="134" spans="1:14" ht="12.75">
      <c r="A134" s="68"/>
      <c r="B134" s="74" t="s">
        <v>2176</v>
      </c>
      <c r="C134" s="63"/>
      <c r="D134" s="64" t="s">
        <v>2037</v>
      </c>
      <c r="E134" s="64"/>
      <c r="F134" s="64" t="s">
        <v>2177</v>
      </c>
      <c r="G134" s="67"/>
      <c r="H134" s="67"/>
      <c r="I134" s="67"/>
      <c r="J134" s="67"/>
      <c r="K134" s="67"/>
      <c r="L134" s="65"/>
      <c r="M134" s="65"/>
      <c r="N134" s="63"/>
    </row>
    <row r="135" spans="1:14" ht="12.75">
      <c r="A135" s="68"/>
      <c r="B135" s="74" t="s">
        <v>2176</v>
      </c>
      <c r="C135" s="63"/>
      <c r="D135" s="64" t="s">
        <v>2037</v>
      </c>
      <c r="E135" s="64"/>
      <c r="F135" s="64" t="s">
        <v>2177</v>
      </c>
      <c r="G135" s="67"/>
      <c r="H135" s="67"/>
      <c r="I135" s="67"/>
      <c r="J135" s="67"/>
      <c r="K135" s="67"/>
      <c r="L135" s="65"/>
      <c r="M135" s="65"/>
      <c r="N135" s="63"/>
    </row>
    <row r="136" spans="1:14" ht="12.75">
      <c r="A136" s="68"/>
      <c r="B136" s="74" t="s">
        <v>2176</v>
      </c>
      <c r="C136" s="63"/>
      <c r="D136" s="64" t="s">
        <v>2037</v>
      </c>
      <c r="E136" s="64"/>
      <c r="F136" s="64" t="s">
        <v>2177</v>
      </c>
      <c r="G136" s="67"/>
      <c r="H136" s="67"/>
      <c r="I136" s="67"/>
      <c r="J136" s="67"/>
      <c r="K136" s="67"/>
      <c r="L136" s="65"/>
      <c r="M136" s="65"/>
      <c r="N136" s="63"/>
    </row>
    <row r="137" spans="1:14" ht="12.75">
      <c r="A137" s="68"/>
      <c r="B137" s="74" t="s">
        <v>2176</v>
      </c>
      <c r="C137" s="63"/>
      <c r="D137" s="64" t="s">
        <v>2037</v>
      </c>
      <c r="E137" s="66"/>
      <c r="F137" s="64" t="s">
        <v>1663</v>
      </c>
      <c r="G137" s="67"/>
      <c r="H137" s="67"/>
      <c r="I137" s="67"/>
      <c r="J137" s="67"/>
      <c r="K137" s="67"/>
      <c r="L137" s="65"/>
      <c r="M137" s="65"/>
      <c r="N137" s="63"/>
    </row>
    <row r="138" spans="1:14" ht="12.75">
      <c r="A138" s="68"/>
      <c r="B138" s="76" t="s">
        <v>2178</v>
      </c>
      <c r="C138" s="63"/>
      <c r="D138" s="64"/>
      <c r="E138" s="64"/>
      <c r="F138" s="66"/>
      <c r="G138" s="67"/>
      <c r="H138" s="67"/>
      <c r="I138" s="67"/>
      <c r="J138" s="67"/>
      <c r="K138" s="67"/>
      <c r="L138" s="65"/>
      <c r="M138" s="65"/>
      <c r="N138" s="63"/>
    </row>
    <row r="139" spans="1:14" ht="12.75">
      <c r="A139" s="68"/>
      <c r="B139" s="76" t="s">
        <v>2178</v>
      </c>
      <c r="C139" s="63"/>
      <c r="D139" s="64"/>
      <c r="E139" s="64"/>
      <c r="F139" s="66"/>
      <c r="G139" s="67"/>
      <c r="H139" s="67"/>
      <c r="I139" s="67"/>
      <c r="J139" s="67"/>
      <c r="K139" s="67"/>
      <c r="L139" s="65"/>
      <c r="M139" s="65"/>
      <c r="N139" s="63"/>
    </row>
    <row r="140" spans="1:14" ht="12.75">
      <c r="A140" s="68"/>
      <c r="B140" s="76" t="s">
        <v>2178</v>
      </c>
      <c r="C140" s="63"/>
      <c r="D140" s="64"/>
      <c r="E140" s="64"/>
      <c r="F140" s="66"/>
      <c r="G140" s="67"/>
      <c r="H140" s="67"/>
      <c r="I140" s="67"/>
      <c r="J140" s="67"/>
      <c r="K140" s="67"/>
      <c r="L140" s="65"/>
      <c r="M140" s="65"/>
      <c r="N140" s="63"/>
    </row>
    <row r="141" spans="1:14" ht="12.75">
      <c r="A141" s="68"/>
      <c r="B141" s="74" t="s">
        <v>2179</v>
      </c>
      <c r="C141" s="63"/>
      <c r="D141" s="64" t="s">
        <v>2180</v>
      </c>
      <c r="E141" s="64" t="s">
        <v>2181</v>
      </c>
      <c r="F141" s="64" t="s">
        <v>1682</v>
      </c>
      <c r="G141" s="65" t="s">
        <v>2074</v>
      </c>
      <c r="H141" s="65" t="s">
        <v>2182</v>
      </c>
      <c r="I141" s="65" t="s">
        <v>2183</v>
      </c>
      <c r="J141" s="65" t="s">
        <v>1682</v>
      </c>
      <c r="K141" s="65" t="s">
        <v>2077</v>
      </c>
      <c r="L141" s="65" t="s">
        <v>2184</v>
      </c>
      <c r="M141" s="65" t="s">
        <v>2119</v>
      </c>
      <c r="N141" s="63"/>
    </row>
    <row r="142" spans="1:14" ht="12.75">
      <c r="A142" s="68"/>
      <c r="B142" s="74" t="s">
        <v>2179</v>
      </c>
      <c r="C142" s="63"/>
      <c r="D142" s="64" t="s">
        <v>2185</v>
      </c>
      <c r="E142" s="64" t="s">
        <v>2186</v>
      </c>
      <c r="F142" s="64" t="s">
        <v>1673</v>
      </c>
      <c r="G142" s="65" t="s">
        <v>2161</v>
      </c>
      <c r="H142" s="65" t="s">
        <v>2187</v>
      </c>
      <c r="I142" s="65" t="s">
        <v>2188</v>
      </c>
      <c r="J142" s="65" t="s">
        <v>1673</v>
      </c>
      <c r="K142" s="65" t="s">
        <v>1928</v>
      </c>
      <c r="L142" s="65" t="s">
        <v>2189</v>
      </c>
      <c r="M142" s="65" t="s">
        <v>2190</v>
      </c>
      <c r="N142" s="63"/>
    </row>
    <row r="143" spans="1:14" ht="12.75">
      <c r="A143" s="68"/>
      <c r="B143" s="74" t="s">
        <v>2179</v>
      </c>
      <c r="C143" s="63"/>
      <c r="D143" s="64" t="s">
        <v>2191</v>
      </c>
      <c r="E143" s="64" t="s">
        <v>2192</v>
      </c>
      <c r="F143" s="64" t="s">
        <v>1673</v>
      </c>
      <c r="G143" s="65" t="s">
        <v>1674</v>
      </c>
      <c r="H143" s="65" t="s">
        <v>2193</v>
      </c>
      <c r="I143" s="65" t="s">
        <v>2194</v>
      </c>
      <c r="J143" s="65" t="s">
        <v>1673</v>
      </c>
      <c r="K143" s="65" t="s">
        <v>1928</v>
      </c>
      <c r="L143" s="65" t="s">
        <v>2195</v>
      </c>
      <c r="M143" s="65" t="s">
        <v>2196</v>
      </c>
      <c r="N143" s="63"/>
    </row>
    <row r="144" spans="1:14" ht="12.75">
      <c r="A144" s="68"/>
      <c r="B144" s="74" t="s">
        <v>2179</v>
      </c>
      <c r="C144" s="63"/>
      <c r="D144" s="64" t="s">
        <v>2197</v>
      </c>
      <c r="E144" s="64" t="s">
        <v>2198</v>
      </c>
      <c r="F144" s="64" t="s">
        <v>1663</v>
      </c>
      <c r="G144" s="65" t="s">
        <v>1664</v>
      </c>
      <c r="H144" s="65" t="s">
        <v>2199</v>
      </c>
      <c r="I144" s="65" t="s">
        <v>2200</v>
      </c>
      <c r="J144" s="65" t="s">
        <v>1667</v>
      </c>
      <c r="K144" s="65" t="s">
        <v>1668</v>
      </c>
      <c r="L144" s="65" t="s">
        <v>2201</v>
      </c>
      <c r="M144" s="65" t="s">
        <v>2202</v>
      </c>
      <c r="N144" s="63"/>
    </row>
    <row r="145" spans="1:14" ht="12.75">
      <c r="A145" s="68"/>
      <c r="B145" s="76" t="s">
        <v>2203</v>
      </c>
      <c r="C145" s="63"/>
      <c r="D145" s="64"/>
      <c r="E145" s="66"/>
      <c r="F145" s="66"/>
      <c r="G145" s="67"/>
      <c r="H145" s="67"/>
      <c r="I145" s="67"/>
      <c r="J145" s="67"/>
      <c r="K145" s="67"/>
      <c r="L145" s="65"/>
      <c r="M145" s="65"/>
      <c r="N145" s="63"/>
    </row>
    <row r="146" spans="1:14" ht="12.75">
      <c r="A146" s="68"/>
      <c r="B146" s="76" t="s">
        <v>2203</v>
      </c>
      <c r="C146" s="63"/>
      <c r="D146" s="64"/>
      <c r="E146" s="66"/>
      <c r="F146" s="66"/>
      <c r="G146" s="67"/>
      <c r="H146" s="67"/>
      <c r="I146" s="67"/>
      <c r="J146" s="67"/>
      <c r="K146" s="67"/>
      <c r="L146" s="65"/>
      <c r="M146" s="65"/>
      <c r="N146" s="63"/>
    </row>
    <row r="147" spans="1:14" ht="12.75">
      <c r="A147" s="68"/>
      <c r="B147" s="76" t="s">
        <v>2203</v>
      </c>
      <c r="C147" s="63"/>
      <c r="D147" s="64"/>
      <c r="E147" s="66"/>
      <c r="F147" s="66"/>
      <c r="G147" s="67"/>
      <c r="H147" s="67"/>
      <c r="I147" s="67"/>
      <c r="J147" s="67"/>
      <c r="K147" s="67"/>
      <c r="L147" s="65"/>
      <c r="M147" s="65"/>
      <c r="N147" s="63"/>
    </row>
    <row r="148" spans="1:14" ht="12.75">
      <c r="A148" s="68"/>
      <c r="B148" s="74" t="s">
        <v>2204</v>
      </c>
      <c r="C148" s="63"/>
      <c r="D148" s="64" t="s">
        <v>2205</v>
      </c>
      <c r="E148" s="64" t="s">
        <v>2206</v>
      </c>
      <c r="F148" s="64" t="s">
        <v>1682</v>
      </c>
      <c r="G148" s="65" t="s">
        <v>2074</v>
      </c>
      <c r="H148" s="65" t="s">
        <v>2207</v>
      </c>
      <c r="I148" s="65"/>
      <c r="J148" s="65" t="s">
        <v>1682</v>
      </c>
      <c r="K148" s="65" t="s">
        <v>2208</v>
      </c>
      <c r="L148" s="65" t="s">
        <v>2209</v>
      </c>
      <c r="M148" s="65" t="s">
        <v>2210</v>
      </c>
      <c r="N148" s="63"/>
    </row>
    <row r="149" spans="1:14" ht="12.75">
      <c r="A149" s="68"/>
      <c r="B149" s="74" t="s">
        <v>2204</v>
      </c>
      <c r="C149" s="63"/>
      <c r="D149" s="64" t="s">
        <v>2211</v>
      </c>
      <c r="E149" s="64" t="s">
        <v>2212</v>
      </c>
      <c r="F149" s="64" t="s">
        <v>1663</v>
      </c>
      <c r="G149" s="65" t="s">
        <v>1664</v>
      </c>
      <c r="H149" s="65" t="s">
        <v>2213</v>
      </c>
      <c r="I149" s="65" t="s">
        <v>2214</v>
      </c>
      <c r="J149" s="65" t="s">
        <v>1667</v>
      </c>
      <c r="K149" s="65" t="s">
        <v>1668</v>
      </c>
      <c r="L149" s="65" t="s">
        <v>2215</v>
      </c>
      <c r="M149" s="65" t="s">
        <v>2216</v>
      </c>
      <c r="N149" s="63"/>
    </row>
    <row r="150" spans="1:14" ht="12.75">
      <c r="A150" s="68"/>
      <c r="B150" s="74" t="s">
        <v>2204</v>
      </c>
      <c r="C150" s="63"/>
      <c r="D150" s="64" t="s">
        <v>2217</v>
      </c>
      <c r="E150" s="64" t="s">
        <v>2218</v>
      </c>
      <c r="F150" s="64" t="s">
        <v>1673</v>
      </c>
      <c r="G150" s="65" t="s">
        <v>1674</v>
      </c>
      <c r="H150" s="65" t="s">
        <v>2219</v>
      </c>
      <c r="I150" s="65" t="s">
        <v>2220</v>
      </c>
      <c r="J150" s="65" t="s">
        <v>1673</v>
      </c>
      <c r="K150" s="65" t="s">
        <v>1928</v>
      </c>
      <c r="L150" s="65" t="s">
        <v>2221</v>
      </c>
      <c r="M150" s="65" t="s">
        <v>2222</v>
      </c>
      <c r="N150" s="63"/>
    </row>
    <row r="151" spans="1:14" ht="12.75">
      <c r="A151" s="68"/>
      <c r="B151" s="74" t="s">
        <v>2204</v>
      </c>
      <c r="C151" s="63"/>
      <c r="D151" s="64" t="s">
        <v>2223</v>
      </c>
      <c r="E151" s="64" t="s">
        <v>2224</v>
      </c>
      <c r="F151" s="64" t="s">
        <v>1818</v>
      </c>
      <c r="G151" s="65" t="s">
        <v>1819</v>
      </c>
      <c r="H151" s="65" t="s">
        <v>2225</v>
      </c>
      <c r="I151" s="65" t="s">
        <v>2226</v>
      </c>
      <c r="J151" s="65" t="s">
        <v>1682</v>
      </c>
      <c r="K151" s="65" t="s">
        <v>2227</v>
      </c>
      <c r="L151" s="65">
        <v>803303</v>
      </c>
      <c r="M151" s="65" t="s">
        <v>1687</v>
      </c>
      <c r="N151" s="63"/>
    </row>
    <row r="152" spans="1:14" ht="12.75">
      <c r="A152" s="68"/>
      <c r="B152" s="74" t="s">
        <v>2204</v>
      </c>
      <c r="C152" s="63"/>
      <c r="D152" s="64" t="s">
        <v>2228</v>
      </c>
      <c r="E152" s="64"/>
      <c r="F152" s="64"/>
      <c r="G152" s="65"/>
      <c r="H152" s="65"/>
      <c r="I152" s="65"/>
      <c r="J152" s="65"/>
      <c r="K152" s="65"/>
      <c r="L152" s="65"/>
      <c r="M152" s="65"/>
      <c r="N152" s="63"/>
    </row>
    <row r="153" spans="1:14" ht="12.75">
      <c r="A153" s="68"/>
      <c r="B153" s="76" t="s">
        <v>2229</v>
      </c>
      <c r="C153" s="63"/>
      <c r="D153" s="64"/>
      <c r="E153" s="64"/>
      <c r="F153" s="66"/>
      <c r="G153" s="67"/>
      <c r="H153" s="67"/>
      <c r="I153" s="67"/>
      <c r="J153" s="67"/>
      <c r="K153" s="67"/>
      <c r="L153" s="65"/>
      <c r="M153" s="65"/>
      <c r="N153" s="63"/>
    </row>
    <row r="154" spans="1:14" ht="12.75">
      <c r="A154" s="68"/>
      <c r="B154" s="76" t="s">
        <v>2229</v>
      </c>
      <c r="C154" s="63"/>
      <c r="D154" s="64"/>
      <c r="E154" s="64"/>
      <c r="F154" s="66"/>
      <c r="G154" s="67"/>
      <c r="H154" s="67"/>
      <c r="I154" s="67"/>
      <c r="J154" s="67"/>
      <c r="K154" s="67"/>
      <c r="L154" s="65"/>
      <c r="M154" s="65"/>
      <c r="N154" s="63"/>
    </row>
    <row r="155" spans="1:14" ht="12.75">
      <c r="A155" s="68"/>
      <c r="B155" s="76" t="s">
        <v>2229</v>
      </c>
      <c r="C155" s="63"/>
      <c r="D155" s="64"/>
      <c r="E155" s="64"/>
      <c r="F155" s="66"/>
      <c r="G155" s="67"/>
      <c r="H155" s="67"/>
      <c r="I155" s="67"/>
      <c r="J155" s="67"/>
      <c r="K155" s="67"/>
      <c r="L155" s="65"/>
      <c r="M155" s="65"/>
      <c r="N155" s="63"/>
    </row>
    <row r="156" spans="1:14" ht="12.75">
      <c r="A156" s="68"/>
      <c r="B156" s="74" t="s">
        <v>2230</v>
      </c>
      <c r="C156" s="63"/>
      <c r="D156" s="64" t="s">
        <v>2231</v>
      </c>
      <c r="E156" s="64" t="s">
        <v>2232</v>
      </c>
      <c r="F156" s="64" t="s">
        <v>1673</v>
      </c>
      <c r="G156" s="65"/>
      <c r="H156" s="65" t="s">
        <v>2233</v>
      </c>
      <c r="I156" s="65" t="s">
        <v>2234</v>
      </c>
      <c r="J156" s="65" t="s">
        <v>1673</v>
      </c>
      <c r="K156" s="65" t="s">
        <v>1928</v>
      </c>
      <c r="L156" s="65" t="s">
        <v>2235</v>
      </c>
      <c r="M156" s="65" t="s">
        <v>2236</v>
      </c>
      <c r="N156" s="63"/>
    </row>
    <row r="157" spans="1:14" ht="12.75">
      <c r="A157" s="68"/>
      <c r="B157" s="74" t="s">
        <v>2230</v>
      </c>
      <c r="C157" s="63"/>
      <c r="D157" s="64" t="s">
        <v>2237</v>
      </c>
      <c r="E157" s="64" t="s">
        <v>2238</v>
      </c>
      <c r="F157" s="64" t="s">
        <v>1682</v>
      </c>
      <c r="G157" s="65" t="s">
        <v>2074</v>
      </c>
      <c r="H157" s="65" t="s">
        <v>2239</v>
      </c>
      <c r="I157" s="65" t="s">
        <v>2240</v>
      </c>
      <c r="J157" s="65" t="s">
        <v>1682</v>
      </c>
      <c r="K157" s="65" t="s">
        <v>2077</v>
      </c>
      <c r="L157" s="65" t="s">
        <v>2241</v>
      </c>
      <c r="M157" s="65" t="s">
        <v>2242</v>
      </c>
      <c r="N157" s="63"/>
    </row>
    <row r="158" spans="1:14" ht="12.75">
      <c r="A158" s="68"/>
      <c r="B158" s="74" t="s">
        <v>2230</v>
      </c>
      <c r="C158" s="63"/>
      <c r="D158" s="64" t="s">
        <v>2243</v>
      </c>
      <c r="E158" s="64" t="s">
        <v>2244</v>
      </c>
      <c r="F158" s="64" t="s">
        <v>1673</v>
      </c>
      <c r="G158" s="65" t="s">
        <v>2245</v>
      </c>
      <c r="H158" s="65" t="s">
        <v>2246</v>
      </c>
      <c r="I158" s="65" t="s">
        <v>2247</v>
      </c>
      <c r="J158" s="65" t="s">
        <v>1673</v>
      </c>
      <c r="K158" s="65" t="s">
        <v>1928</v>
      </c>
      <c r="L158" s="65" t="s">
        <v>2248</v>
      </c>
      <c r="M158" s="65" t="s">
        <v>2249</v>
      </c>
      <c r="N158" s="63"/>
    </row>
    <row r="159" spans="1:14" ht="12.75">
      <c r="A159" s="68"/>
      <c r="B159" s="74" t="s">
        <v>2230</v>
      </c>
      <c r="C159" s="63"/>
      <c r="D159" s="64" t="s">
        <v>2250</v>
      </c>
      <c r="E159" s="64" t="s">
        <v>2251</v>
      </c>
      <c r="F159" s="64" t="s">
        <v>1673</v>
      </c>
      <c r="G159" s="65" t="s">
        <v>2245</v>
      </c>
      <c r="H159" s="65" t="s">
        <v>2252</v>
      </c>
      <c r="I159" s="65" t="s">
        <v>2253</v>
      </c>
      <c r="J159" s="65" t="s">
        <v>1673</v>
      </c>
      <c r="K159" s="65" t="s">
        <v>1928</v>
      </c>
      <c r="L159" s="65" t="s">
        <v>2254</v>
      </c>
      <c r="M159" s="65" t="s">
        <v>2255</v>
      </c>
      <c r="N159" s="63"/>
    </row>
    <row r="160" spans="1:14" ht="12.75">
      <c r="A160" s="68"/>
      <c r="B160" s="74" t="s">
        <v>2230</v>
      </c>
      <c r="C160" s="63"/>
      <c r="D160" s="64" t="s">
        <v>2256</v>
      </c>
      <c r="E160" s="64" t="s">
        <v>2257</v>
      </c>
      <c r="F160" s="64" t="s">
        <v>1663</v>
      </c>
      <c r="G160" s="65" t="s">
        <v>1664</v>
      </c>
      <c r="H160" s="65" t="s">
        <v>2258</v>
      </c>
      <c r="I160" s="65" t="s">
        <v>2259</v>
      </c>
      <c r="J160" s="65" t="s">
        <v>1667</v>
      </c>
      <c r="K160" s="65" t="s">
        <v>1668</v>
      </c>
      <c r="L160" s="65" t="s">
        <v>2260</v>
      </c>
      <c r="M160" s="65" t="s">
        <v>2261</v>
      </c>
      <c r="N160" s="63"/>
    </row>
    <row r="161" spans="1:14" ht="12.75">
      <c r="A161" s="68"/>
      <c r="B161" s="76" t="s">
        <v>2262</v>
      </c>
      <c r="C161" s="63"/>
      <c r="D161" s="64"/>
      <c r="E161" s="66"/>
      <c r="F161" s="66"/>
      <c r="G161" s="67"/>
      <c r="H161" s="67"/>
      <c r="I161" s="67"/>
      <c r="J161" s="67"/>
      <c r="K161" s="67"/>
      <c r="L161" s="65"/>
      <c r="M161" s="65"/>
      <c r="N161" s="63"/>
    </row>
    <row r="162" spans="1:14" ht="12.75">
      <c r="A162" s="68"/>
      <c r="B162" s="76" t="s">
        <v>2262</v>
      </c>
      <c r="C162" s="63"/>
      <c r="D162" s="64"/>
      <c r="E162" s="66"/>
      <c r="F162" s="66"/>
      <c r="G162" s="67"/>
      <c r="H162" s="67"/>
      <c r="I162" s="67"/>
      <c r="J162" s="67"/>
      <c r="K162" s="67"/>
      <c r="L162" s="65"/>
      <c r="M162" s="65"/>
      <c r="N162" s="63"/>
    </row>
    <row r="163" spans="1:14" ht="12.75">
      <c r="A163" s="68"/>
      <c r="B163" s="76" t="s">
        <v>2262</v>
      </c>
      <c r="C163" s="63"/>
      <c r="D163" s="64"/>
      <c r="E163" s="66"/>
      <c r="F163" s="66"/>
      <c r="G163" s="67"/>
      <c r="H163" s="67"/>
      <c r="I163" s="67"/>
      <c r="J163" s="67"/>
      <c r="K163" s="67"/>
      <c r="L163" s="65"/>
      <c r="M163" s="65"/>
      <c r="N163" s="63"/>
    </row>
    <row r="164" spans="1:14" ht="12.75">
      <c r="A164" s="68"/>
      <c r="B164" s="74" t="s">
        <v>2263</v>
      </c>
      <c r="C164" s="63"/>
      <c r="D164" s="64" t="s">
        <v>2264</v>
      </c>
      <c r="E164" s="64" t="s">
        <v>2265</v>
      </c>
      <c r="F164" s="64" t="s">
        <v>1673</v>
      </c>
      <c r="G164" s="65" t="s">
        <v>1673</v>
      </c>
      <c r="H164" s="65" t="s">
        <v>2266</v>
      </c>
      <c r="I164" s="65" t="s">
        <v>2267</v>
      </c>
      <c r="J164" s="65" t="s">
        <v>1673</v>
      </c>
      <c r="K164" s="65" t="s">
        <v>1928</v>
      </c>
      <c r="L164" s="65" t="s">
        <v>2268</v>
      </c>
      <c r="M164" s="65" t="s">
        <v>2269</v>
      </c>
      <c r="N164" s="63"/>
    </row>
    <row r="165" spans="1:14" ht="12.75">
      <c r="A165" s="68"/>
      <c r="B165" s="74" t="s">
        <v>2263</v>
      </c>
      <c r="C165" s="63"/>
      <c r="D165" s="64" t="s">
        <v>2270</v>
      </c>
      <c r="E165" s="64" t="s">
        <v>2271</v>
      </c>
      <c r="F165" s="64" t="s">
        <v>1673</v>
      </c>
      <c r="G165" s="65" t="s">
        <v>1673</v>
      </c>
      <c r="H165" s="65" t="s">
        <v>2272</v>
      </c>
      <c r="I165" s="65" t="s">
        <v>2273</v>
      </c>
      <c r="J165" s="65" t="s">
        <v>1673</v>
      </c>
      <c r="K165" s="65" t="s">
        <v>1928</v>
      </c>
      <c r="L165" s="65" t="s">
        <v>2274</v>
      </c>
      <c r="M165" s="65" t="s">
        <v>2275</v>
      </c>
      <c r="N165" s="63"/>
    </row>
    <row r="166" spans="1:14" ht="12.75">
      <c r="A166" s="68"/>
      <c r="B166" s="74" t="s">
        <v>2263</v>
      </c>
      <c r="C166" s="63"/>
      <c r="D166" s="64" t="s">
        <v>2276</v>
      </c>
      <c r="E166" s="64" t="s">
        <v>1270</v>
      </c>
      <c r="F166" s="64" t="s">
        <v>1663</v>
      </c>
      <c r="G166" s="65" t="s">
        <v>1664</v>
      </c>
      <c r="H166" s="65" t="s">
        <v>2277</v>
      </c>
      <c r="I166" s="65" t="s">
        <v>2278</v>
      </c>
      <c r="J166" s="65" t="s">
        <v>1667</v>
      </c>
      <c r="K166" s="65" t="s">
        <v>1668</v>
      </c>
      <c r="L166" s="65" t="s">
        <v>2279</v>
      </c>
      <c r="M166" s="65" t="s">
        <v>2280</v>
      </c>
      <c r="N166" s="63"/>
    </row>
    <row r="167" spans="1:14" ht="12.75">
      <c r="A167" s="68"/>
      <c r="B167" s="74" t="s">
        <v>2263</v>
      </c>
      <c r="C167" s="63"/>
      <c r="D167" s="64" t="s">
        <v>2281</v>
      </c>
      <c r="E167" s="64" t="s">
        <v>2282</v>
      </c>
      <c r="F167" s="64" t="s">
        <v>1682</v>
      </c>
      <c r="G167" s="65" t="s">
        <v>2074</v>
      </c>
      <c r="H167" s="65" t="s">
        <v>2283</v>
      </c>
      <c r="I167" s="65" t="s">
        <v>2284</v>
      </c>
      <c r="J167" s="65" t="s">
        <v>2285</v>
      </c>
      <c r="K167" s="65" t="s">
        <v>1686</v>
      </c>
      <c r="L167" s="65">
        <v>11017817</v>
      </c>
      <c r="M167" s="65" t="s">
        <v>1687</v>
      </c>
      <c r="N167" s="63"/>
    </row>
    <row r="168" spans="1:14" ht="12.75">
      <c r="A168" s="68"/>
      <c r="B168" s="76" t="s">
        <v>2286</v>
      </c>
      <c r="C168" s="63"/>
      <c r="D168" s="64"/>
      <c r="E168" s="64"/>
      <c r="F168" s="66"/>
      <c r="G168" s="65"/>
      <c r="H168" s="67"/>
      <c r="I168" s="65"/>
      <c r="J168" s="65"/>
      <c r="K168" s="67"/>
      <c r="L168" s="65"/>
      <c r="M168" s="65"/>
      <c r="N168" s="63"/>
    </row>
    <row r="169" spans="1:14" ht="12.75">
      <c r="A169" s="68"/>
      <c r="B169" s="76" t="s">
        <v>2286</v>
      </c>
      <c r="C169" s="63"/>
      <c r="D169" s="64"/>
      <c r="E169" s="64"/>
      <c r="F169" s="66"/>
      <c r="G169" s="65"/>
      <c r="H169" s="67"/>
      <c r="I169" s="65"/>
      <c r="J169" s="65"/>
      <c r="K169" s="67"/>
      <c r="L169" s="65"/>
      <c r="M169" s="65"/>
      <c r="N169" s="63"/>
    </row>
    <row r="170" spans="1:14" ht="12.75">
      <c r="A170" s="68"/>
      <c r="B170" s="76" t="s">
        <v>2286</v>
      </c>
      <c r="C170" s="63"/>
      <c r="D170" s="64"/>
      <c r="E170" s="64"/>
      <c r="F170" s="66"/>
      <c r="G170" s="65"/>
      <c r="H170" s="67"/>
      <c r="I170" s="65"/>
      <c r="J170" s="65"/>
      <c r="K170" s="67"/>
      <c r="L170" s="65"/>
      <c r="M170" s="65"/>
      <c r="N170" s="63"/>
    </row>
    <row r="171" spans="1:14" ht="12.75">
      <c r="A171" s="68"/>
      <c r="B171" s="74" t="s">
        <v>2287</v>
      </c>
      <c r="C171" s="63"/>
      <c r="D171" s="64" t="s">
        <v>2288</v>
      </c>
      <c r="E171" s="64" t="s">
        <v>2289</v>
      </c>
      <c r="F171" s="64" t="s">
        <v>1673</v>
      </c>
      <c r="G171" s="65" t="s">
        <v>1674</v>
      </c>
      <c r="H171" s="65" t="s">
        <v>2290</v>
      </c>
      <c r="I171" s="65" t="s">
        <v>2291</v>
      </c>
      <c r="J171" s="65" t="s">
        <v>1673</v>
      </c>
      <c r="K171" s="65" t="s">
        <v>1928</v>
      </c>
      <c r="L171" s="65" t="s">
        <v>2292</v>
      </c>
      <c r="M171" s="65" t="s">
        <v>2293</v>
      </c>
      <c r="N171" s="63"/>
    </row>
    <row r="172" spans="1:14" ht="12.75">
      <c r="A172" s="68"/>
      <c r="B172" s="74" t="s">
        <v>2287</v>
      </c>
      <c r="C172" s="63"/>
      <c r="D172" s="64" t="s">
        <v>2294</v>
      </c>
      <c r="E172" s="64" t="s">
        <v>2295</v>
      </c>
      <c r="F172" s="64" t="s">
        <v>1673</v>
      </c>
      <c r="G172" s="65" t="s">
        <v>1674</v>
      </c>
      <c r="H172" s="65" t="s">
        <v>2296</v>
      </c>
      <c r="I172" s="65" t="s">
        <v>2297</v>
      </c>
      <c r="J172" s="65" t="s">
        <v>1673</v>
      </c>
      <c r="K172" s="65" t="s">
        <v>1928</v>
      </c>
      <c r="L172" s="65" t="s">
        <v>2298</v>
      </c>
      <c r="M172" s="65" t="s">
        <v>2299</v>
      </c>
      <c r="N172" s="63"/>
    </row>
    <row r="173" spans="1:14" ht="12.75">
      <c r="A173" s="68"/>
      <c r="B173" s="74" t="s">
        <v>2287</v>
      </c>
      <c r="C173" s="63"/>
      <c r="D173" s="64" t="s">
        <v>2300</v>
      </c>
      <c r="E173" s="64" t="s">
        <v>2301</v>
      </c>
      <c r="F173" s="64" t="s">
        <v>1818</v>
      </c>
      <c r="G173" s="65" t="s">
        <v>1819</v>
      </c>
      <c r="H173" s="67" t="s">
        <v>2302</v>
      </c>
      <c r="I173" s="65" t="s">
        <v>2303</v>
      </c>
      <c r="J173" s="65" t="s">
        <v>2304</v>
      </c>
      <c r="K173" s="65" t="s">
        <v>2131</v>
      </c>
      <c r="L173" s="65" t="s">
        <v>2305</v>
      </c>
      <c r="M173" s="65"/>
      <c r="N173" s="63"/>
    </row>
    <row r="174" spans="1:14" ht="12.75">
      <c r="A174" s="68"/>
      <c r="B174" s="74" t="s">
        <v>2287</v>
      </c>
      <c r="C174" s="63"/>
      <c r="D174" s="64" t="s">
        <v>2306</v>
      </c>
      <c r="E174" s="64" t="s">
        <v>2307</v>
      </c>
      <c r="F174" s="64" t="s">
        <v>1673</v>
      </c>
      <c r="G174" s="65" t="s">
        <v>1674</v>
      </c>
      <c r="H174" s="65" t="s">
        <v>2308</v>
      </c>
      <c r="I174" s="65" t="s">
        <v>2309</v>
      </c>
      <c r="J174" s="65" t="s">
        <v>1673</v>
      </c>
      <c r="K174" s="82" t="s">
        <v>1928</v>
      </c>
      <c r="L174" s="82" t="s">
        <v>2310</v>
      </c>
      <c r="M174" s="65" t="s">
        <v>2311</v>
      </c>
      <c r="N174" s="63"/>
    </row>
    <row r="175" spans="1:14" ht="12.75">
      <c r="A175" s="68"/>
      <c r="B175" s="74" t="s">
        <v>2287</v>
      </c>
      <c r="C175" s="63"/>
      <c r="D175" s="64" t="s">
        <v>2312</v>
      </c>
      <c r="E175" s="64" t="s">
        <v>2313</v>
      </c>
      <c r="F175" s="64" t="s">
        <v>1663</v>
      </c>
      <c r="G175" s="65" t="s">
        <v>1664</v>
      </c>
      <c r="H175" s="65" t="s">
        <v>2314</v>
      </c>
      <c r="I175" s="65" t="s">
        <v>2315</v>
      </c>
      <c r="J175" s="65" t="s">
        <v>1667</v>
      </c>
      <c r="K175" s="65" t="s">
        <v>1668</v>
      </c>
      <c r="L175" s="65" t="s">
        <v>2316</v>
      </c>
      <c r="M175" s="65" t="s">
        <v>2317</v>
      </c>
      <c r="N175" s="63"/>
    </row>
    <row r="176" spans="1:14" ht="12.75">
      <c r="A176" s="68"/>
      <c r="B176" s="74" t="s">
        <v>2287</v>
      </c>
      <c r="C176" s="63"/>
      <c r="D176" s="64" t="s">
        <v>2318</v>
      </c>
      <c r="E176" s="64" t="s">
        <v>2319</v>
      </c>
      <c r="F176" s="64" t="s">
        <v>1673</v>
      </c>
      <c r="G176" s="65" t="s">
        <v>1674</v>
      </c>
      <c r="H176" s="65" t="s">
        <v>2320</v>
      </c>
      <c r="I176" s="65" t="s">
        <v>2321</v>
      </c>
      <c r="J176" s="65" t="s">
        <v>1673</v>
      </c>
      <c r="K176" s="65" t="s">
        <v>1928</v>
      </c>
      <c r="L176" s="65" t="s">
        <v>2322</v>
      </c>
      <c r="M176" s="65" t="s">
        <v>2323</v>
      </c>
      <c r="N176" s="63"/>
    </row>
    <row r="177" spans="1:14" ht="12.75">
      <c r="A177" s="68"/>
      <c r="B177" s="74" t="s">
        <v>2287</v>
      </c>
      <c r="C177" s="63"/>
      <c r="D177" s="64" t="s">
        <v>2324</v>
      </c>
      <c r="E177" s="64" t="s">
        <v>2325</v>
      </c>
      <c r="F177" s="64" t="s">
        <v>1682</v>
      </c>
      <c r="G177" s="65" t="s">
        <v>2326</v>
      </c>
      <c r="H177" s="65" t="s">
        <v>2327</v>
      </c>
      <c r="I177" s="65"/>
      <c r="J177" s="65" t="s">
        <v>1682</v>
      </c>
      <c r="K177" s="65"/>
      <c r="L177" s="65">
        <v>31124900</v>
      </c>
      <c r="M177" s="65" t="s">
        <v>2328</v>
      </c>
      <c r="N177" s="63"/>
    </row>
    <row r="178" spans="1:14" ht="12.75">
      <c r="A178" s="68"/>
      <c r="B178" s="76" t="s">
        <v>2329</v>
      </c>
      <c r="C178" s="63"/>
      <c r="D178" s="64"/>
      <c r="E178" s="66"/>
      <c r="F178" s="66"/>
      <c r="G178" s="67"/>
      <c r="H178" s="67"/>
      <c r="I178" s="67"/>
      <c r="J178" s="67"/>
      <c r="K178" s="67"/>
      <c r="L178" s="65"/>
      <c r="M178" s="65"/>
      <c r="N178" s="63"/>
    </row>
    <row r="179" spans="1:14" ht="12.75">
      <c r="A179" s="68"/>
      <c r="B179" s="76" t="s">
        <v>2329</v>
      </c>
      <c r="C179" s="63"/>
      <c r="D179" s="64"/>
      <c r="E179" s="66"/>
      <c r="F179" s="66"/>
      <c r="G179" s="67"/>
      <c r="H179" s="67"/>
      <c r="I179" s="67"/>
      <c r="J179" s="67"/>
      <c r="K179" s="67"/>
      <c r="L179" s="65"/>
      <c r="M179" s="65"/>
      <c r="N179" s="63"/>
    </row>
    <row r="180" spans="1:14" ht="12.75">
      <c r="A180" s="68"/>
      <c r="B180" s="76" t="s">
        <v>2329</v>
      </c>
      <c r="C180" s="63"/>
      <c r="D180" s="64"/>
      <c r="E180" s="66"/>
      <c r="F180" s="66"/>
      <c r="G180" s="67"/>
      <c r="H180" s="67"/>
      <c r="I180" s="67"/>
      <c r="J180" s="67"/>
      <c r="K180" s="67"/>
      <c r="L180" s="65"/>
      <c r="M180" s="65"/>
      <c r="N180" s="63"/>
    </row>
    <row r="181" spans="1:14" ht="12.75">
      <c r="A181" s="68"/>
      <c r="B181" s="74" t="s">
        <v>2330</v>
      </c>
      <c r="C181" s="63"/>
      <c r="D181" s="64" t="s">
        <v>2331</v>
      </c>
      <c r="E181" s="64" t="s">
        <v>2332</v>
      </c>
      <c r="F181" s="64" t="s">
        <v>1663</v>
      </c>
      <c r="G181" s="65" t="s">
        <v>1664</v>
      </c>
      <c r="H181" s="65" t="s">
        <v>2333</v>
      </c>
      <c r="I181" s="65" t="s">
        <v>2334</v>
      </c>
      <c r="J181" s="65" t="s">
        <v>1667</v>
      </c>
      <c r="K181" s="65" t="s">
        <v>1668</v>
      </c>
      <c r="L181" s="79" t="s">
        <v>2335</v>
      </c>
      <c r="M181" s="65" t="s">
        <v>2336</v>
      </c>
      <c r="N181" s="63"/>
    </row>
    <row r="182" spans="1:14" ht="12.75">
      <c r="A182" s="68"/>
      <c r="B182" s="74" t="s">
        <v>2330</v>
      </c>
      <c r="C182" s="63"/>
      <c r="D182" s="64" t="s">
        <v>2337</v>
      </c>
      <c r="E182" s="64" t="s">
        <v>2338</v>
      </c>
      <c r="F182" s="64" t="s">
        <v>1673</v>
      </c>
      <c r="G182" s="65" t="s">
        <v>1674</v>
      </c>
      <c r="H182" s="65" t="s">
        <v>2339</v>
      </c>
      <c r="I182" s="65" t="s">
        <v>2340</v>
      </c>
      <c r="J182" s="65" t="s">
        <v>1673</v>
      </c>
      <c r="K182" s="65" t="s">
        <v>1928</v>
      </c>
      <c r="L182" s="65" t="s">
        <v>2341</v>
      </c>
      <c r="M182" s="65" t="s">
        <v>2342</v>
      </c>
      <c r="N182" s="63"/>
    </row>
    <row r="183" spans="1:14" ht="12.75">
      <c r="A183" s="68"/>
      <c r="B183" s="74" t="s">
        <v>2330</v>
      </c>
      <c r="C183" s="63"/>
      <c r="D183" s="64" t="s">
        <v>2343</v>
      </c>
      <c r="E183" s="64" t="s">
        <v>2344</v>
      </c>
      <c r="F183" s="64" t="s">
        <v>1673</v>
      </c>
      <c r="G183" s="65" t="s">
        <v>1674</v>
      </c>
      <c r="H183" s="65" t="s">
        <v>2345</v>
      </c>
      <c r="I183" s="65" t="s">
        <v>2346</v>
      </c>
      <c r="J183" s="65" t="s">
        <v>1673</v>
      </c>
      <c r="K183" s="65" t="s">
        <v>1928</v>
      </c>
      <c r="L183" s="65" t="s">
        <v>2347</v>
      </c>
      <c r="M183" s="65" t="s">
        <v>2348</v>
      </c>
      <c r="N183" s="63"/>
    </row>
    <row r="184" spans="1:14" ht="12.75">
      <c r="A184" s="68"/>
      <c r="B184" s="74" t="s">
        <v>2330</v>
      </c>
      <c r="C184" s="63"/>
      <c r="D184" s="64" t="s">
        <v>2349</v>
      </c>
      <c r="E184" s="64" t="s">
        <v>2350</v>
      </c>
      <c r="F184" s="64" t="s">
        <v>1673</v>
      </c>
      <c r="G184" s="65" t="s">
        <v>1674</v>
      </c>
      <c r="H184" s="65" t="s">
        <v>2351</v>
      </c>
      <c r="I184" s="65" t="s">
        <v>2352</v>
      </c>
      <c r="J184" s="65" t="s">
        <v>1673</v>
      </c>
      <c r="K184" s="65" t="s">
        <v>1928</v>
      </c>
      <c r="L184" s="65" t="s">
        <v>2353</v>
      </c>
      <c r="M184" s="65" t="s">
        <v>2354</v>
      </c>
      <c r="N184" s="63"/>
    </row>
    <row r="185" spans="1:14" ht="12.75">
      <c r="A185" s="68"/>
      <c r="B185" s="74" t="s">
        <v>2330</v>
      </c>
      <c r="C185" s="63"/>
      <c r="D185" s="64" t="s">
        <v>2355</v>
      </c>
      <c r="E185" s="64" t="s">
        <v>2356</v>
      </c>
      <c r="F185" s="64" t="s">
        <v>2357</v>
      </c>
      <c r="G185" s="65" t="s">
        <v>2358</v>
      </c>
      <c r="H185" s="65" t="s">
        <v>2359</v>
      </c>
      <c r="I185" s="65" t="s">
        <v>2360</v>
      </c>
      <c r="J185" s="65" t="s">
        <v>2361</v>
      </c>
      <c r="K185" s="65" t="s">
        <v>2361</v>
      </c>
      <c r="L185" s="65" t="s">
        <v>2361</v>
      </c>
      <c r="M185" s="65" t="s">
        <v>2361</v>
      </c>
      <c r="N185" s="63"/>
    </row>
    <row r="186" spans="1:14" ht="12.75">
      <c r="A186" s="68"/>
      <c r="B186" s="74" t="s">
        <v>2330</v>
      </c>
      <c r="C186" s="63"/>
      <c r="D186" s="64" t="s">
        <v>2037</v>
      </c>
      <c r="E186" s="64"/>
      <c r="F186" s="64"/>
      <c r="G186" s="65"/>
      <c r="H186" s="65"/>
      <c r="I186" s="65"/>
      <c r="J186" s="65"/>
      <c r="K186" s="65"/>
      <c r="L186" s="65"/>
      <c r="M186" s="65"/>
      <c r="N186" s="63"/>
    </row>
    <row r="187" spans="1:14" ht="12.75">
      <c r="A187" s="68"/>
      <c r="B187" s="76" t="s">
        <v>2362</v>
      </c>
      <c r="C187" s="63"/>
      <c r="D187" s="64"/>
      <c r="E187" s="64"/>
      <c r="F187" s="66"/>
      <c r="G187" s="67"/>
      <c r="H187" s="67"/>
      <c r="I187" s="67"/>
      <c r="J187" s="67"/>
      <c r="K187" s="67"/>
      <c r="L187" s="65"/>
      <c r="M187" s="65"/>
      <c r="N187" s="63"/>
    </row>
    <row r="188" spans="1:14" ht="12.75">
      <c r="A188" s="68"/>
      <c r="B188" s="76" t="s">
        <v>2362</v>
      </c>
      <c r="C188" s="63"/>
      <c r="D188" s="64"/>
      <c r="E188" s="64"/>
      <c r="F188" s="66"/>
      <c r="G188" s="67"/>
      <c r="H188" s="67"/>
      <c r="I188" s="67"/>
      <c r="J188" s="67"/>
      <c r="K188" s="67"/>
      <c r="L188" s="65"/>
      <c r="M188" s="65"/>
      <c r="N188" s="63"/>
    </row>
    <row r="189" spans="1:14" ht="12.75">
      <c r="A189" s="68"/>
      <c r="B189" s="76" t="s">
        <v>2362</v>
      </c>
      <c r="C189" s="63"/>
      <c r="D189" s="64"/>
      <c r="E189" s="64"/>
      <c r="F189" s="66"/>
      <c r="G189" s="67"/>
      <c r="H189" s="67"/>
      <c r="I189" s="67"/>
      <c r="J189" s="67"/>
      <c r="K189" s="67"/>
      <c r="L189" s="65"/>
      <c r="M189" s="65"/>
      <c r="N189" s="63"/>
    </row>
    <row r="190" spans="1:14" ht="12.75">
      <c r="A190" s="68"/>
      <c r="B190" s="74" t="s">
        <v>2363</v>
      </c>
      <c r="C190" s="63"/>
      <c r="D190" s="64"/>
      <c r="E190" s="66" t="s">
        <v>2364</v>
      </c>
      <c r="F190" s="66" t="s">
        <v>1663</v>
      </c>
      <c r="G190" s="65" t="s">
        <v>1664</v>
      </c>
      <c r="H190" s="67" t="s">
        <v>2365</v>
      </c>
      <c r="I190" s="67" t="s">
        <v>2366</v>
      </c>
      <c r="J190" s="67" t="s">
        <v>1673</v>
      </c>
      <c r="K190" s="65" t="s">
        <v>1928</v>
      </c>
      <c r="L190" s="65" t="s">
        <v>2367</v>
      </c>
      <c r="M190" s="65" t="s">
        <v>2368</v>
      </c>
      <c r="N190" s="63"/>
    </row>
    <row r="191" spans="1:14" ht="12.75">
      <c r="A191" s="68"/>
      <c r="B191" s="74" t="s">
        <v>2363</v>
      </c>
      <c r="C191" s="63"/>
      <c r="D191" s="64"/>
      <c r="E191" s="66"/>
      <c r="F191" s="66"/>
      <c r="G191" s="67"/>
      <c r="H191" s="67"/>
      <c r="I191" s="67"/>
      <c r="J191" s="67"/>
      <c r="K191" s="65"/>
      <c r="L191" s="65"/>
      <c r="M191" s="65"/>
      <c r="N191" s="63"/>
    </row>
    <row r="192" spans="1:14" ht="12.75">
      <c r="A192" s="68"/>
      <c r="B192" s="74" t="s">
        <v>2363</v>
      </c>
      <c r="C192" s="63"/>
      <c r="D192" s="64"/>
      <c r="E192" s="66"/>
      <c r="F192" s="66"/>
      <c r="G192" s="67"/>
      <c r="H192" s="67"/>
      <c r="I192" s="67"/>
      <c r="J192" s="67"/>
      <c r="K192" s="65"/>
      <c r="L192" s="65"/>
      <c r="M192" s="65"/>
      <c r="N192" s="63"/>
    </row>
    <row r="193" spans="1:14" ht="12.75">
      <c r="A193" s="68"/>
      <c r="B193" s="74" t="s">
        <v>2369</v>
      </c>
      <c r="C193" s="63"/>
      <c r="D193" s="64" t="s">
        <v>2370</v>
      </c>
      <c r="E193" s="66" t="s">
        <v>2371</v>
      </c>
      <c r="F193" s="66" t="s">
        <v>1673</v>
      </c>
      <c r="G193" s="67" t="s">
        <v>1674</v>
      </c>
      <c r="H193" s="67" t="s">
        <v>2372</v>
      </c>
      <c r="I193" s="67" t="s">
        <v>2373</v>
      </c>
      <c r="J193" s="67" t="s">
        <v>1673</v>
      </c>
      <c r="K193" s="65" t="s">
        <v>1928</v>
      </c>
      <c r="L193" s="65" t="s">
        <v>2374</v>
      </c>
      <c r="M193" s="65" t="s">
        <v>2375</v>
      </c>
      <c r="N193" s="63"/>
    </row>
    <row r="194" spans="1:14" ht="12.75">
      <c r="A194" s="68"/>
      <c r="B194" s="74" t="s">
        <v>2369</v>
      </c>
      <c r="C194" s="63"/>
      <c r="D194" s="64" t="s">
        <v>2376</v>
      </c>
      <c r="E194" s="66" t="s">
        <v>2377</v>
      </c>
      <c r="F194" s="66" t="s">
        <v>1673</v>
      </c>
      <c r="G194" s="67" t="s">
        <v>1674</v>
      </c>
      <c r="H194" s="67" t="s">
        <v>2378</v>
      </c>
      <c r="I194" s="67" t="s">
        <v>2379</v>
      </c>
      <c r="J194" s="67" t="s">
        <v>1673</v>
      </c>
      <c r="K194" s="65" t="s">
        <v>1928</v>
      </c>
      <c r="L194" s="65" t="s">
        <v>2380</v>
      </c>
      <c r="M194" s="65" t="s">
        <v>2381</v>
      </c>
      <c r="N194" s="63"/>
    </row>
    <row r="195" spans="1:14" ht="12.75">
      <c r="A195" s="68"/>
      <c r="B195" s="74" t="s">
        <v>2369</v>
      </c>
      <c r="C195" s="63"/>
      <c r="D195" s="64" t="s">
        <v>2382</v>
      </c>
      <c r="E195" s="66" t="s">
        <v>2383</v>
      </c>
      <c r="F195" s="66" t="s">
        <v>1663</v>
      </c>
      <c r="G195" s="65" t="s">
        <v>1664</v>
      </c>
      <c r="H195" s="65" t="s">
        <v>2384</v>
      </c>
      <c r="I195" s="65" t="s">
        <v>2385</v>
      </c>
      <c r="J195" s="65" t="s">
        <v>1667</v>
      </c>
      <c r="K195" s="65" t="s">
        <v>1668</v>
      </c>
      <c r="L195" s="65" t="s">
        <v>2386</v>
      </c>
      <c r="M195" s="65" t="s">
        <v>2387</v>
      </c>
      <c r="N195" s="63"/>
    </row>
    <row r="196" spans="1:14" ht="12.75">
      <c r="A196" s="68"/>
      <c r="B196" s="74" t="s">
        <v>2369</v>
      </c>
      <c r="C196" s="63"/>
      <c r="D196" s="64" t="s">
        <v>2388</v>
      </c>
      <c r="E196" s="66" t="s">
        <v>2389</v>
      </c>
      <c r="F196" s="66" t="s">
        <v>1673</v>
      </c>
      <c r="G196" s="67" t="s">
        <v>1674</v>
      </c>
      <c r="H196" s="67" t="s">
        <v>2390</v>
      </c>
      <c r="I196" s="67" t="s">
        <v>2391</v>
      </c>
      <c r="J196" s="67" t="s">
        <v>1673</v>
      </c>
      <c r="K196" s="65" t="s">
        <v>1928</v>
      </c>
      <c r="L196" s="65" t="s">
        <v>2392</v>
      </c>
      <c r="M196" s="65" t="s">
        <v>2393</v>
      </c>
      <c r="N196" s="63"/>
    </row>
    <row r="197" spans="1:14" ht="12.75">
      <c r="A197" s="68"/>
      <c r="B197" s="76" t="s">
        <v>2394</v>
      </c>
      <c r="C197" s="63"/>
      <c r="D197" s="64"/>
      <c r="E197" s="66"/>
      <c r="F197" s="66"/>
      <c r="G197" s="67"/>
      <c r="H197" s="67"/>
      <c r="I197" s="67"/>
      <c r="J197" s="67"/>
      <c r="K197" s="65"/>
      <c r="L197" s="65"/>
      <c r="M197" s="65"/>
      <c r="N197" s="63"/>
    </row>
    <row r="198" spans="1:14" ht="12.75">
      <c r="A198" s="68"/>
      <c r="B198" s="76" t="s">
        <v>2394</v>
      </c>
      <c r="C198" s="63"/>
      <c r="D198" s="64"/>
      <c r="E198" s="66"/>
      <c r="F198" s="66"/>
      <c r="G198" s="67"/>
      <c r="H198" s="67"/>
      <c r="I198" s="67"/>
      <c r="J198" s="67"/>
      <c r="K198" s="65"/>
      <c r="L198" s="65"/>
      <c r="M198" s="65"/>
      <c r="N198" s="63"/>
    </row>
    <row r="199" spans="1:14" ht="12.75">
      <c r="A199" s="68"/>
      <c r="B199" s="76" t="s">
        <v>2394</v>
      </c>
      <c r="C199" s="63"/>
      <c r="D199" s="64"/>
      <c r="E199" s="66"/>
      <c r="F199" s="66"/>
      <c r="G199" s="67"/>
      <c r="H199" s="67"/>
      <c r="I199" s="67"/>
      <c r="J199" s="67"/>
      <c r="K199" s="65"/>
      <c r="L199" s="65"/>
      <c r="M199" s="65"/>
      <c r="N199" s="63"/>
    </row>
    <row r="200" spans="1:14" ht="12.75">
      <c r="A200" s="68"/>
      <c r="B200" s="74" t="s">
        <v>2395</v>
      </c>
      <c r="C200" s="63"/>
      <c r="D200" s="64" t="s">
        <v>2396</v>
      </c>
      <c r="E200" s="64" t="s">
        <v>2397</v>
      </c>
      <c r="F200" s="64" t="s">
        <v>1818</v>
      </c>
      <c r="G200" s="65" t="s">
        <v>2398</v>
      </c>
      <c r="H200" s="65">
        <v>1.216604501929E+16</v>
      </c>
      <c r="I200" s="65" t="s">
        <v>2399</v>
      </c>
      <c r="J200" s="65" t="s">
        <v>1682</v>
      </c>
      <c r="K200" s="65" t="s">
        <v>1686</v>
      </c>
      <c r="L200" s="65">
        <v>11018134</v>
      </c>
      <c r="M200" s="65" t="s">
        <v>1687</v>
      </c>
      <c r="N200" s="63"/>
    </row>
    <row r="201" spans="1:14" ht="12.75">
      <c r="A201" s="68"/>
      <c r="B201" s="74" t="s">
        <v>2395</v>
      </c>
      <c r="C201" s="63"/>
      <c r="D201" s="64" t="s">
        <v>2400</v>
      </c>
      <c r="E201" s="64" t="s">
        <v>2401</v>
      </c>
      <c r="F201" s="64" t="s">
        <v>1818</v>
      </c>
      <c r="G201" s="65" t="s">
        <v>2398</v>
      </c>
      <c r="H201" s="65">
        <v>9290091</v>
      </c>
      <c r="I201" s="65" t="s">
        <v>2402</v>
      </c>
      <c r="J201" s="65" t="s">
        <v>1682</v>
      </c>
      <c r="K201" s="65" t="s">
        <v>2403</v>
      </c>
      <c r="L201" s="65">
        <v>10802713</v>
      </c>
      <c r="M201" s="65" t="s">
        <v>1687</v>
      </c>
      <c r="N201" s="63"/>
    </row>
    <row r="202" spans="1:14" ht="12.75">
      <c r="A202" s="68"/>
      <c r="B202" s="74" t="s">
        <v>2395</v>
      </c>
      <c r="C202" s="63"/>
      <c r="D202" s="64" t="s">
        <v>2404</v>
      </c>
      <c r="E202" s="64" t="s">
        <v>2405</v>
      </c>
      <c r="F202" s="64" t="s">
        <v>1818</v>
      </c>
      <c r="G202" s="65" t="s">
        <v>2398</v>
      </c>
      <c r="H202" s="65">
        <v>9290215</v>
      </c>
      <c r="I202" s="65" t="s">
        <v>2406</v>
      </c>
      <c r="J202" s="65" t="s">
        <v>1682</v>
      </c>
      <c r="K202" s="65" t="s">
        <v>2407</v>
      </c>
      <c r="L202" s="65" t="s">
        <v>2408</v>
      </c>
      <c r="M202" s="65" t="s">
        <v>2409</v>
      </c>
      <c r="N202" s="63"/>
    </row>
    <row r="203" spans="1:14" ht="12.75">
      <c r="A203" s="68"/>
      <c r="B203" s="74" t="s">
        <v>2395</v>
      </c>
      <c r="C203" s="63"/>
      <c r="D203" s="64" t="s">
        <v>2410</v>
      </c>
      <c r="E203" s="64" t="s">
        <v>2411</v>
      </c>
      <c r="F203" s="64" t="s">
        <v>1673</v>
      </c>
      <c r="G203" s="65" t="s">
        <v>1674</v>
      </c>
      <c r="H203" s="65" t="s">
        <v>2412</v>
      </c>
      <c r="I203" s="65" t="s">
        <v>2413</v>
      </c>
      <c r="J203" s="65" t="s">
        <v>1673</v>
      </c>
      <c r="K203" s="65" t="s">
        <v>1928</v>
      </c>
      <c r="L203" s="65" t="s">
        <v>2414</v>
      </c>
      <c r="M203" s="65" t="s">
        <v>2415</v>
      </c>
      <c r="N203" s="63"/>
    </row>
    <row r="204" spans="1:14" ht="12.75">
      <c r="A204" s="68"/>
      <c r="B204" s="74" t="s">
        <v>2395</v>
      </c>
      <c r="C204" s="63"/>
      <c r="D204" s="64" t="s">
        <v>2416</v>
      </c>
      <c r="E204" s="64" t="s">
        <v>2417</v>
      </c>
      <c r="F204" s="64" t="s">
        <v>1663</v>
      </c>
      <c r="G204" s="65" t="s">
        <v>1664</v>
      </c>
      <c r="H204" s="65" t="s">
        <v>2418</v>
      </c>
      <c r="I204" s="65" t="s">
        <v>2419</v>
      </c>
      <c r="J204" s="65" t="s">
        <v>1667</v>
      </c>
      <c r="K204" s="65" t="s">
        <v>1668</v>
      </c>
      <c r="L204" s="65" t="s">
        <v>2420</v>
      </c>
      <c r="M204" s="65" t="s">
        <v>1687</v>
      </c>
      <c r="N204" s="63"/>
    </row>
    <row r="205" spans="1:14" ht="12.75">
      <c r="A205" s="68"/>
      <c r="B205" s="76" t="s">
        <v>2421</v>
      </c>
      <c r="C205" s="63"/>
      <c r="D205" s="64"/>
      <c r="E205" s="64"/>
      <c r="F205" s="64"/>
      <c r="G205" s="65"/>
      <c r="H205" s="65"/>
      <c r="I205" s="65"/>
      <c r="J205" s="65"/>
      <c r="K205" s="65"/>
      <c r="L205" s="65"/>
      <c r="M205" s="65"/>
      <c r="N205" s="63"/>
    </row>
    <row r="206" spans="1:14" ht="12.75">
      <c r="A206" s="68"/>
      <c r="B206" s="76" t="s">
        <v>2421</v>
      </c>
      <c r="C206" s="63"/>
      <c r="D206" s="64"/>
      <c r="E206" s="64"/>
      <c r="F206" s="64"/>
      <c r="G206" s="65"/>
      <c r="H206" s="65"/>
      <c r="I206" s="65"/>
      <c r="J206" s="65"/>
      <c r="K206" s="65"/>
      <c r="L206" s="65"/>
      <c r="M206" s="65"/>
      <c r="N206" s="63"/>
    </row>
    <row r="207" spans="1:14" ht="12.75">
      <c r="A207" s="68"/>
      <c r="B207" s="76" t="s">
        <v>2421</v>
      </c>
      <c r="C207" s="63"/>
      <c r="D207" s="64"/>
      <c r="E207" s="64"/>
      <c r="F207" s="64"/>
      <c r="G207" s="65"/>
      <c r="H207" s="65"/>
      <c r="I207" s="65"/>
      <c r="J207" s="65"/>
      <c r="K207" s="65"/>
      <c r="L207" s="65"/>
      <c r="M207" s="65"/>
      <c r="N207" s="63"/>
    </row>
    <row r="208" spans="1:14" ht="12.75">
      <c r="A208" s="68"/>
      <c r="B208" s="74" t="s">
        <v>2422</v>
      </c>
      <c r="C208" s="63"/>
      <c r="D208" s="64" t="s">
        <v>2423</v>
      </c>
      <c r="E208" s="66" t="s">
        <v>2424</v>
      </c>
      <c r="F208" s="64" t="s">
        <v>1818</v>
      </c>
      <c r="G208" s="65" t="s">
        <v>1819</v>
      </c>
      <c r="H208" s="67" t="s">
        <v>2425</v>
      </c>
      <c r="I208" s="65" t="s">
        <v>2426</v>
      </c>
      <c r="J208" s="65" t="s">
        <v>2130</v>
      </c>
      <c r="K208" s="65" t="s">
        <v>2427</v>
      </c>
      <c r="L208" s="65" t="s">
        <v>2428</v>
      </c>
      <c r="M208" s="65"/>
      <c r="N208" s="63"/>
    </row>
    <row r="209" spans="1:14" ht="12.75">
      <c r="A209" s="68"/>
      <c r="B209" s="74" t="s">
        <v>2422</v>
      </c>
      <c r="C209" s="63"/>
      <c r="D209" s="64" t="s">
        <v>2429</v>
      </c>
      <c r="E209" s="66" t="s">
        <v>2430</v>
      </c>
      <c r="F209" s="64" t="s">
        <v>1663</v>
      </c>
      <c r="G209" s="65" t="s">
        <v>1664</v>
      </c>
      <c r="H209" s="67" t="s">
        <v>2431</v>
      </c>
      <c r="I209" s="65" t="s">
        <v>2432</v>
      </c>
      <c r="J209" s="65" t="s">
        <v>1667</v>
      </c>
      <c r="K209" s="65" t="s">
        <v>1668</v>
      </c>
      <c r="L209" s="65" t="s">
        <v>2433</v>
      </c>
      <c r="M209" s="65" t="s">
        <v>2434</v>
      </c>
      <c r="N209" s="63"/>
    </row>
    <row r="210" spans="1:14" ht="12.75">
      <c r="A210" s="68"/>
      <c r="B210" s="74" t="s">
        <v>2422</v>
      </c>
      <c r="C210" s="63"/>
      <c r="D210" s="64" t="s">
        <v>2435</v>
      </c>
      <c r="E210" s="66" t="s">
        <v>2436</v>
      </c>
      <c r="F210" s="64" t="s">
        <v>1818</v>
      </c>
      <c r="G210" s="65" t="s">
        <v>1819</v>
      </c>
      <c r="H210" s="67" t="s">
        <v>2437</v>
      </c>
      <c r="I210" s="65" t="s">
        <v>2438</v>
      </c>
      <c r="J210" s="65" t="s">
        <v>2130</v>
      </c>
      <c r="K210" s="65" t="s">
        <v>2427</v>
      </c>
      <c r="L210" s="65" t="s">
        <v>2439</v>
      </c>
      <c r="M210" s="65"/>
      <c r="N210" s="63"/>
    </row>
    <row r="211" spans="1:14" ht="12.75">
      <c r="A211" s="68"/>
      <c r="B211" s="74" t="s">
        <v>2422</v>
      </c>
      <c r="C211" s="63"/>
      <c r="D211" s="280" t="s">
        <v>2440</v>
      </c>
      <c r="E211" s="281" t="s">
        <v>2441</v>
      </c>
      <c r="F211" s="281" t="s">
        <v>1818</v>
      </c>
      <c r="G211" s="282" t="s">
        <v>1819</v>
      </c>
      <c r="H211" s="282">
        <v>8160603019290060</v>
      </c>
      <c r="I211" s="282" t="s">
        <v>1687</v>
      </c>
      <c r="J211" s="67" t="s">
        <v>1673</v>
      </c>
      <c r="K211" s="65" t="s">
        <v>1928</v>
      </c>
      <c r="L211" s="65" t="s">
        <v>2442</v>
      </c>
      <c r="M211" s="65" t="s">
        <v>2443</v>
      </c>
      <c r="N211" s="63"/>
    </row>
    <row r="212" spans="1:14" ht="12.75">
      <c r="A212" s="68"/>
      <c r="B212" s="74" t="s">
        <v>2422</v>
      </c>
      <c r="C212" s="63"/>
      <c r="D212" s="280" t="s">
        <v>2444</v>
      </c>
      <c r="E212" s="281" t="s">
        <v>2445</v>
      </c>
      <c r="F212" s="281" t="s">
        <v>1818</v>
      </c>
      <c r="G212" s="282" t="s">
        <v>1819</v>
      </c>
      <c r="H212" s="282">
        <v>816063019290232</v>
      </c>
      <c r="I212" s="282" t="s">
        <v>2446</v>
      </c>
      <c r="J212" s="67" t="s">
        <v>1673</v>
      </c>
      <c r="K212" s="65" t="s">
        <v>1928</v>
      </c>
      <c r="L212" s="65" t="s">
        <v>2447</v>
      </c>
      <c r="M212" s="65" t="s">
        <v>2448</v>
      </c>
      <c r="N212" s="63"/>
    </row>
    <row r="213" spans="1:14" ht="12.75">
      <c r="A213" s="68"/>
      <c r="B213" s="76" t="s">
        <v>2449</v>
      </c>
      <c r="C213" s="63"/>
      <c r="D213" s="64"/>
      <c r="E213" s="66"/>
      <c r="F213" s="64"/>
      <c r="G213" s="67"/>
      <c r="H213" s="67"/>
      <c r="I213" s="67"/>
      <c r="J213" s="67"/>
      <c r="K213" s="67"/>
      <c r="L213" s="65"/>
      <c r="M213" s="65"/>
      <c r="N213" s="63"/>
    </row>
    <row r="214" spans="1:14" ht="12.75">
      <c r="A214" s="68"/>
      <c r="B214" s="76" t="s">
        <v>2449</v>
      </c>
      <c r="C214" s="63"/>
      <c r="D214" s="64"/>
      <c r="E214" s="66"/>
      <c r="F214" s="66"/>
      <c r="G214" s="67"/>
      <c r="H214" s="67"/>
      <c r="I214" s="67"/>
      <c r="J214" s="67"/>
      <c r="K214" s="67"/>
      <c r="L214" s="65"/>
      <c r="M214" s="65"/>
      <c r="N214" s="63"/>
    </row>
    <row r="215" spans="1:14" ht="12.75">
      <c r="A215" s="68"/>
      <c r="B215" s="76" t="s">
        <v>2449</v>
      </c>
      <c r="C215" s="63"/>
      <c r="D215" s="64"/>
      <c r="E215" s="66"/>
      <c r="F215" s="66"/>
      <c r="G215" s="67"/>
      <c r="H215" s="67"/>
      <c r="I215" s="67"/>
      <c r="J215" s="67"/>
      <c r="K215" s="67"/>
      <c r="L215" s="65"/>
      <c r="M215" s="65"/>
      <c r="N215" s="63"/>
    </row>
    <row r="216" spans="1:14" ht="12.75">
      <c r="A216" s="68"/>
      <c r="B216" s="76" t="s">
        <v>2449</v>
      </c>
      <c r="C216" s="63"/>
      <c r="D216" s="64"/>
      <c r="E216" s="66"/>
      <c r="F216" s="66"/>
      <c r="G216" s="67"/>
      <c r="H216" s="67"/>
      <c r="I216" s="67"/>
      <c r="J216" s="67"/>
      <c r="K216" s="67"/>
      <c r="L216" s="65"/>
      <c r="M216" s="65"/>
      <c r="N216" s="63"/>
    </row>
    <row r="217" spans="1:14" ht="12.75">
      <c r="A217" s="68"/>
      <c r="B217" s="74" t="s">
        <v>2450</v>
      </c>
      <c r="C217" s="63"/>
      <c r="D217" s="64" t="s">
        <v>2451</v>
      </c>
      <c r="E217" s="64" t="s">
        <v>2452</v>
      </c>
      <c r="F217" s="66" t="s">
        <v>1673</v>
      </c>
      <c r="G217" s="65" t="s">
        <v>1674</v>
      </c>
      <c r="H217" s="65" t="s">
        <v>2453</v>
      </c>
      <c r="I217" s="65" t="s">
        <v>2454</v>
      </c>
      <c r="J217" s="65" t="s">
        <v>1673</v>
      </c>
      <c r="K217" s="65" t="s">
        <v>1928</v>
      </c>
      <c r="L217" s="65" t="s">
        <v>2455</v>
      </c>
      <c r="M217" s="65" t="s">
        <v>2456</v>
      </c>
      <c r="N217" s="63"/>
    </row>
    <row r="218" spans="1:14" ht="12.75">
      <c r="A218" s="68"/>
      <c r="B218" s="74" t="s">
        <v>2450</v>
      </c>
      <c r="C218" s="63"/>
      <c r="D218" s="64" t="s">
        <v>2457</v>
      </c>
      <c r="E218" s="64" t="s">
        <v>2458</v>
      </c>
      <c r="F218" s="66" t="s">
        <v>1673</v>
      </c>
      <c r="G218" s="65" t="s">
        <v>1674</v>
      </c>
      <c r="H218" s="65" t="s">
        <v>2459</v>
      </c>
      <c r="I218" s="65" t="s">
        <v>2460</v>
      </c>
      <c r="J218" s="65" t="s">
        <v>1673</v>
      </c>
      <c r="K218" s="65" t="s">
        <v>1928</v>
      </c>
      <c r="L218" s="65" t="s">
        <v>2461</v>
      </c>
      <c r="M218" s="65" t="s">
        <v>2462</v>
      </c>
      <c r="N218" s="63"/>
    </row>
    <row r="219" spans="1:14" ht="12.75">
      <c r="A219" s="68"/>
      <c r="B219" s="74" t="s">
        <v>2450</v>
      </c>
      <c r="C219" s="63"/>
      <c r="D219" s="64" t="s">
        <v>2463</v>
      </c>
      <c r="E219" s="64" t="s">
        <v>2464</v>
      </c>
      <c r="F219" s="66" t="s">
        <v>1673</v>
      </c>
      <c r="G219" s="65" t="s">
        <v>1674</v>
      </c>
      <c r="H219" s="65" t="s">
        <v>2465</v>
      </c>
      <c r="I219" s="65" t="s">
        <v>2466</v>
      </c>
      <c r="J219" s="65" t="s">
        <v>1673</v>
      </c>
      <c r="K219" s="65" t="s">
        <v>1928</v>
      </c>
      <c r="L219" s="65" t="s">
        <v>2467</v>
      </c>
      <c r="M219" s="65" t="s">
        <v>2468</v>
      </c>
      <c r="N219" s="63"/>
    </row>
    <row r="220" spans="1:14" ht="12.75">
      <c r="A220" s="68"/>
      <c r="B220" s="74" t="s">
        <v>2450</v>
      </c>
      <c r="C220" s="63"/>
      <c r="D220" s="64" t="s">
        <v>2469</v>
      </c>
      <c r="E220" s="64" t="s">
        <v>2470</v>
      </c>
      <c r="F220" s="66" t="s">
        <v>1682</v>
      </c>
      <c r="G220" s="67" t="s">
        <v>2074</v>
      </c>
      <c r="H220" s="65" t="s">
        <v>2471</v>
      </c>
      <c r="I220" s="65" t="s">
        <v>1687</v>
      </c>
      <c r="J220" s="65" t="s">
        <v>1682</v>
      </c>
      <c r="K220" s="67" t="s">
        <v>2077</v>
      </c>
      <c r="L220" s="65" t="s">
        <v>2472</v>
      </c>
      <c r="M220" s="65" t="s">
        <v>2473</v>
      </c>
      <c r="N220" s="63"/>
    </row>
    <row r="221" spans="1:14" ht="12.75">
      <c r="A221" s="68"/>
      <c r="B221" s="74" t="s">
        <v>2450</v>
      </c>
      <c r="C221" s="63"/>
      <c r="D221" s="64" t="s">
        <v>2474</v>
      </c>
      <c r="E221" s="64" t="s">
        <v>2475</v>
      </c>
      <c r="F221" s="66" t="s">
        <v>1682</v>
      </c>
      <c r="G221" s="65" t="s">
        <v>2476</v>
      </c>
      <c r="H221" s="65" t="s">
        <v>2477</v>
      </c>
      <c r="I221" s="65" t="s">
        <v>1687</v>
      </c>
      <c r="J221" s="65" t="s">
        <v>2130</v>
      </c>
      <c r="K221" s="65" t="s">
        <v>2131</v>
      </c>
      <c r="L221" s="65" t="s">
        <v>2478</v>
      </c>
      <c r="M221" s="65" t="s">
        <v>1687</v>
      </c>
      <c r="N221" s="63"/>
    </row>
    <row r="222" spans="1:14" ht="12.75">
      <c r="A222" s="68"/>
      <c r="B222" s="74" t="s">
        <v>2450</v>
      </c>
      <c r="C222" s="63"/>
      <c r="D222" s="64" t="s">
        <v>2479</v>
      </c>
      <c r="E222" s="64" t="s">
        <v>2480</v>
      </c>
      <c r="F222" s="66" t="s">
        <v>1663</v>
      </c>
      <c r="G222" s="67" t="s">
        <v>1664</v>
      </c>
      <c r="H222" s="65" t="s">
        <v>2481</v>
      </c>
      <c r="I222" s="65" t="s">
        <v>2482</v>
      </c>
      <c r="J222" s="65" t="s">
        <v>1667</v>
      </c>
      <c r="K222" s="67" t="s">
        <v>1668</v>
      </c>
      <c r="L222" s="65" t="s">
        <v>2483</v>
      </c>
      <c r="M222" s="65" t="s">
        <v>2484</v>
      </c>
      <c r="N222" s="63"/>
    </row>
    <row r="223" spans="1:14" ht="12.75">
      <c r="A223" s="68"/>
      <c r="B223" s="76" t="s">
        <v>2485</v>
      </c>
      <c r="C223" s="63"/>
      <c r="D223" s="64"/>
      <c r="E223" s="64"/>
      <c r="F223" s="66"/>
      <c r="G223" s="67"/>
      <c r="H223" s="67"/>
      <c r="I223" s="67"/>
      <c r="J223" s="67"/>
      <c r="K223" s="67"/>
      <c r="L223" s="65"/>
      <c r="M223" s="65"/>
      <c r="N223" s="63"/>
    </row>
    <row r="224" spans="1:14" ht="12.75">
      <c r="A224" s="68"/>
      <c r="B224" s="76" t="s">
        <v>2485</v>
      </c>
      <c r="C224" s="63"/>
      <c r="D224" s="64"/>
      <c r="E224" s="64"/>
      <c r="F224" s="66"/>
      <c r="G224" s="67"/>
      <c r="H224" s="67"/>
      <c r="I224" s="67"/>
      <c r="J224" s="67"/>
      <c r="K224" s="67"/>
      <c r="L224" s="65"/>
      <c r="M224" s="65"/>
      <c r="N224" s="63"/>
    </row>
    <row r="225" spans="1:14" ht="12.75">
      <c r="A225" s="68"/>
      <c r="B225" s="76" t="s">
        <v>2485</v>
      </c>
      <c r="C225" s="63"/>
      <c r="D225" s="64"/>
      <c r="E225" s="64"/>
      <c r="F225" s="66"/>
      <c r="G225" s="67"/>
      <c r="H225" s="67"/>
      <c r="I225" s="67"/>
      <c r="J225" s="67"/>
      <c r="K225" s="67"/>
      <c r="L225" s="65"/>
      <c r="M225" s="65"/>
      <c r="N225" s="63"/>
    </row>
    <row r="226" spans="1:14" ht="12.75">
      <c r="A226" s="68"/>
      <c r="B226" s="74" t="s">
        <v>2486</v>
      </c>
      <c r="C226" s="63"/>
      <c r="D226" s="64" t="s">
        <v>2487</v>
      </c>
      <c r="E226" s="66" t="s">
        <v>2488</v>
      </c>
      <c r="F226" s="66" t="s">
        <v>1673</v>
      </c>
      <c r="G226" s="67" t="s">
        <v>1674</v>
      </c>
      <c r="H226" s="67" t="s">
        <v>2489</v>
      </c>
      <c r="I226" s="67" t="s">
        <v>2490</v>
      </c>
      <c r="J226" s="67" t="s">
        <v>1673</v>
      </c>
      <c r="K226" s="65" t="s">
        <v>1928</v>
      </c>
      <c r="L226" s="65" t="s">
        <v>2491</v>
      </c>
      <c r="M226" s="65" t="s">
        <v>2492</v>
      </c>
      <c r="N226" s="63"/>
    </row>
    <row r="227" spans="1:14" ht="12.75">
      <c r="A227" s="68"/>
      <c r="B227" s="74" t="s">
        <v>2486</v>
      </c>
      <c r="C227" s="63"/>
      <c r="D227" s="64" t="s">
        <v>2493</v>
      </c>
      <c r="E227" s="66" t="s">
        <v>2494</v>
      </c>
      <c r="F227" s="66" t="s">
        <v>1673</v>
      </c>
      <c r="G227" s="67" t="s">
        <v>1674</v>
      </c>
      <c r="H227" s="67" t="s">
        <v>2495</v>
      </c>
      <c r="I227" s="67" t="s">
        <v>2496</v>
      </c>
      <c r="J227" s="67" t="s">
        <v>1673</v>
      </c>
      <c r="K227" s="65" t="s">
        <v>1928</v>
      </c>
      <c r="L227" s="65" t="s">
        <v>2497</v>
      </c>
      <c r="M227" s="65" t="s">
        <v>2498</v>
      </c>
      <c r="N227" s="63"/>
    </row>
    <row r="228" spans="1:14" ht="12.75">
      <c r="A228" s="68"/>
      <c r="B228" s="74" t="s">
        <v>2486</v>
      </c>
      <c r="C228" s="63"/>
      <c r="D228" s="64" t="s">
        <v>2499</v>
      </c>
      <c r="E228" s="66" t="s">
        <v>2500</v>
      </c>
      <c r="F228" s="66" t="s">
        <v>1663</v>
      </c>
      <c r="G228" s="65" t="s">
        <v>1664</v>
      </c>
      <c r="H228" s="67" t="s">
        <v>2501</v>
      </c>
      <c r="I228" s="67" t="s">
        <v>2502</v>
      </c>
      <c r="J228" s="67" t="s">
        <v>1667</v>
      </c>
      <c r="K228" s="65" t="s">
        <v>1668</v>
      </c>
      <c r="L228" s="65" t="s">
        <v>2503</v>
      </c>
      <c r="M228" s="65" t="s">
        <v>2504</v>
      </c>
      <c r="N228" s="63"/>
    </row>
    <row r="229" spans="1:14" ht="12.75">
      <c r="A229" s="68"/>
      <c r="B229" s="76" t="s">
        <v>2505</v>
      </c>
      <c r="C229" s="63"/>
      <c r="D229" s="64"/>
      <c r="E229" s="66"/>
      <c r="F229" s="66"/>
      <c r="G229" s="67"/>
      <c r="H229" s="67"/>
      <c r="I229" s="67"/>
      <c r="J229" s="67"/>
      <c r="K229" s="67"/>
      <c r="L229" s="65"/>
      <c r="M229" s="65"/>
      <c r="N229" s="63"/>
    </row>
    <row r="230" spans="1:14" ht="12.75">
      <c r="A230" s="68"/>
      <c r="B230" s="76" t="s">
        <v>2505</v>
      </c>
      <c r="C230" s="63"/>
      <c r="D230" s="64"/>
      <c r="E230" s="66"/>
      <c r="F230" s="66"/>
      <c r="G230" s="67"/>
      <c r="H230" s="67"/>
      <c r="I230" s="67"/>
      <c r="J230" s="67"/>
      <c r="K230" s="67"/>
      <c r="L230" s="65"/>
      <c r="M230" s="65"/>
      <c r="N230" s="63"/>
    </row>
    <row r="231" spans="1:14" ht="12.75">
      <c r="A231" s="68"/>
      <c r="B231" s="76" t="s">
        <v>2505</v>
      </c>
      <c r="C231" s="63"/>
      <c r="D231" s="64"/>
      <c r="E231" s="66"/>
      <c r="F231" s="66"/>
      <c r="G231" s="67"/>
      <c r="H231" s="67"/>
      <c r="I231" s="67"/>
      <c r="J231" s="67"/>
      <c r="K231" s="67"/>
      <c r="L231" s="65"/>
      <c r="M231" s="65"/>
      <c r="N231" s="63"/>
    </row>
    <row r="232" spans="1:14" ht="12.75">
      <c r="A232" s="68"/>
      <c r="B232" s="74" t="s">
        <v>2486</v>
      </c>
      <c r="C232" s="63"/>
      <c r="D232" s="64" t="s">
        <v>2506</v>
      </c>
      <c r="E232" s="66" t="s">
        <v>2507</v>
      </c>
      <c r="F232" s="64" t="s">
        <v>1673</v>
      </c>
      <c r="G232" s="67" t="s">
        <v>1674</v>
      </c>
      <c r="H232" s="65" t="s">
        <v>2508</v>
      </c>
      <c r="I232" s="65" t="s">
        <v>2509</v>
      </c>
      <c r="J232" s="67" t="s">
        <v>1673</v>
      </c>
      <c r="K232" s="67" t="s">
        <v>1928</v>
      </c>
      <c r="L232" s="65" t="s">
        <v>2510</v>
      </c>
      <c r="M232" s="65" t="s">
        <v>2511</v>
      </c>
      <c r="N232" s="63"/>
    </row>
    <row r="233" spans="1:14" ht="12.75">
      <c r="A233" s="68"/>
      <c r="B233" s="74" t="s">
        <v>2512</v>
      </c>
      <c r="C233" s="63"/>
      <c r="D233" s="64" t="s">
        <v>2513</v>
      </c>
      <c r="E233" s="64" t="s">
        <v>2514</v>
      </c>
      <c r="F233" s="64" t="s">
        <v>1682</v>
      </c>
      <c r="G233" s="65" t="s">
        <v>2074</v>
      </c>
      <c r="H233" s="65" t="s">
        <v>2515</v>
      </c>
      <c r="I233" s="65" t="s">
        <v>2516</v>
      </c>
      <c r="J233" s="67"/>
      <c r="K233" s="67"/>
      <c r="L233" s="65"/>
      <c r="M233" s="65"/>
      <c r="N233" s="63"/>
    </row>
    <row r="234" spans="1:14" ht="12.75">
      <c r="A234" s="68"/>
      <c r="B234" s="74" t="s">
        <v>2512</v>
      </c>
      <c r="C234" s="63"/>
      <c r="D234" s="64" t="s">
        <v>2517</v>
      </c>
      <c r="E234" s="64"/>
      <c r="F234" s="66"/>
      <c r="G234" s="67"/>
      <c r="H234" s="67"/>
      <c r="I234" s="67"/>
      <c r="J234" s="67"/>
      <c r="K234" s="67"/>
      <c r="L234" s="65"/>
      <c r="M234" s="65"/>
      <c r="N234" s="63"/>
    </row>
    <row r="235" spans="1:14" ht="12.75">
      <c r="A235" s="68"/>
      <c r="B235" s="74" t="s">
        <v>2512</v>
      </c>
      <c r="C235" s="63"/>
      <c r="D235" s="64" t="s">
        <v>2518</v>
      </c>
      <c r="E235" s="64" t="s">
        <v>2519</v>
      </c>
      <c r="F235" s="64" t="s">
        <v>1673</v>
      </c>
      <c r="G235" s="65" t="s">
        <v>1674</v>
      </c>
      <c r="H235" s="65" t="s">
        <v>2520</v>
      </c>
      <c r="I235" s="65" t="s">
        <v>2521</v>
      </c>
      <c r="J235" s="65" t="s">
        <v>1673</v>
      </c>
      <c r="K235" s="67" t="s">
        <v>1928</v>
      </c>
      <c r="L235" s="65" t="s">
        <v>2522</v>
      </c>
      <c r="M235" s="65" t="s">
        <v>2523</v>
      </c>
      <c r="N235" s="63"/>
    </row>
    <row r="236" spans="1:14" ht="12.75">
      <c r="A236" s="68"/>
      <c r="B236" s="74" t="s">
        <v>2512</v>
      </c>
      <c r="C236" s="63"/>
      <c r="D236" s="64" t="s">
        <v>2524</v>
      </c>
      <c r="E236" s="64" t="s">
        <v>2525</v>
      </c>
      <c r="F236" s="64" t="s">
        <v>1818</v>
      </c>
      <c r="G236" s="65" t="s">
        <v>1819</v>
      </c>
      <c r="H236" s="83" t="s">
        <v>2526</v>
      </c>
      <c r="I236" s="65" t="s">
        <v>2527</v>
      </c>
      <c r="J236" s="65" t="s">
        <v>1682</v>
      </c>
      <c r="K236" s="67" t="s">
        <v>2077</v>
      </c>
      <c r="L236" s="65" t="s">
        <v>2528</v>
      </c>
      <c r="M236" s="65"/>
      <c r="N236" s="63"/>
    </row>
    <row r="237" spans="1:14" ht="12.75">
      <c r="A237" s="68"/>
      <c r="B237" s="74" t="s">
        <v>2512</v>
      </c>
      <c r="C237" s="63"/>
      <c r="D237" s="64" t="s">
        <v>2529</v>
      </c>
      <c r="E237" s="64" t="s">
        <v>2530</v>
      </c>
      <c r="F237" s="64" t="s">
        <v>1663</v>
      </c>
      <c r="G237" s="65" t="s">
        <v>1664</v>
      </c>
      <c r="H237" s="79" t="s">
        <v>2531</v>
      </c>
      <c r="I237" s="65" t="s">
        <v>2532</v>
      </c>
      <c r="J237" s="65" t="s">
        <v>1667</v>
      </c>
      <c r="K237" s="67" t="s">
        <v>1668</v>
      </c>
      <c r="L237" s="79" t="s">
        <v>2531</v>
      </c>
      <c r="M237" s="75" t="s">
        <v>2533</v>
      </c>
      <c r="N237" s="63"/>
    </row>
    <row r="238" spans="1:14" ht="12.75">
      <c r="A238" s="68"/>
      <c r="B238" s="76" t="s">
        <v>2534</v>
      </c>
      <c r="C238" s="63"/>
      <c r="D238" s="64"/>
      <c r="E238" s="64"/>
      <c r="F238" s="66"/>
      <c r="G238" s="67"/>
      <c r="H238" s="67"/>
      <c r="I238" s="67"/>
      <c r="J238" s="67"/>
      <c r="K238" s="67"/>
      <c r="L238" s="65"/>
      <c r="M238" s="65"/>
      <c r="N238" s="63"/>
    </row>
    <row r="239" spans="1:14" ht="12.75">
      <c r="A239" s="68"/>
      <c r="B239" s="76" t="s">
        <v>2534</v>
      </c>
      <c r="C239" s="63"/>
      <c r="D239" s="64"/>
      <c r="E239" s="64"/>
      <c r="F239" s="66"/>
      <c r="G239" s="67"/>
      <c r="H239" s="67"/>
      <c r="I239" s="67"/>
      <c r="J239" s="67"/>
      <c r="K239" s="67"/>
      <c r="L239" s="65"/>
      <c r="M239" s="65"/>
      <c r="N239" s="63"/>
    </row>
    <row r="240" spans="1:14" ht="12.75">
      <c r="A240" s="68"/>
      <c r="B240" s="76" t="s">
        <v>2534</v>
      </c>
      <c r="C240" s="63"/>
      <c r="D240" s="64"/>
      <c r="E240" s="64"/>
      <c r="F240" s="66"/>
      <c r="G240" s="67"/>
      <c r="H240" s="67"/>
      <c r="I240" s="67"/>
      <c r="J240" s="67"/>
      <c r="K240" s="67"/>
      <c r="L240" s="65"/>
      <c r="M240" s="65"/>
      <c r="N240" s="63"/>
    </row>
    <row r="241" spans="1:14" ht="12.75">
      <c r="A241" s="68"/>
      <c r="B241" s="74" t="s">
        <v>2535</v>
      </c>
      <c r="C241" s="63"/>
      <c r="D241" s="64" t="s">
        <v>2536</v>
      </c>
      <c r="E241" s="66" t="s">
        <v>2537</v>
      </c>
      <c r="F241" s="64" t="s">
        <v>1673</v>
      </c>
      <c r="G241" s="67" t="s">
        <v>1674</v>
      </c>
      <c r="H241" s="67" t="s">
        <v>2538</v>
      </c>
      <c r="I241" s="67" t="s">
        <v>2539</v>
      </c>
      <c r="J241" s="67" t="s">
        <v>1673</v>
      </c>
      <c r="K241" s="65" t="s">
        <v>1928</v>
      </c>
      <c r="L241" s="65" t="s">
        <v>2540</v>
      </c>
      <c r="M241" s="65" t="s">
        <v>2541</v>
      </c>
      <c r="N241" s="63"/>
    </row>
    <row r="242" spans="1:14" ht="12.75">
      <c r="A242" s="68"/>
      <c r="B242" s="74" t="s">
        <v>2535</v>
      </c>
      <c r="C242" s="63"/>
      <c r="D242" s="64" t="s">
        <v>2542</v>
      </c>
      <c r="E242" s="66" t="s">
        <v>2543</v>
      </c>
      <c r="F242" s="64" t="s">
        <v>1673</v>
      </c>
      <c r="G242" s="67" t="s">
        <v>1674</v>
      </c>
      <c r="H242" s="67" t="s">
        <v>2544</v>
      </c>
      <c r="I242" s="67" t="s">
        <v>2545</v>
      </c>
      <c r="J242" s="67" t="s">
        <v>1673</v>
      </c>
      <c r="K242" s="65" t="s">
        <v>1928</v>
      </c>
      <c r="L242" s="65" t="s">
        <v>2546</v>
      </c>
      <c r="M242" s="65" t="s">
        <v>2547</v>
      </c>
      <c r="N242" s="63"/>
    </row>
    <row r="243" spans="1:14" ht="12.75">
      <c r="A243" s="68"/>
      <c r="B243" s="74" t="s">
        <v>2535</v>
      </c>
      <c r="C243" s="63"/>
      <c r="D243" s="64" t="s">
        <v>2548</v>
      </c>
      <c r="E243" s="66" t="s">
        <v>2549</v>
      </c>
      <c r="F243" s="64" t="s">
        <v>1673</v>
      </c>
      <c r="G243" s="67" t="s">
        <v>1674</v>
      </c>
      <c r="H243" s="67" t="s">
        <v>2550</v>
      </c>
      <c r="I243" s="67" t="s">
        <v>2551</v>
      </c>
      <c r="J243" s="67" t="s">
        <v>1673</v>
      </c>
      <c r="K243" s="65" t="s">
        <v>1928</v>
      </c>
      <c r="L243" s="65" t="s">
        <v>2552</v>
      </c>
      <c r="M243" s="65" t="s">
        <v>2553</v>
      </c>
      <c r="N243" s="63"/>
    </row>
    <row r="244" spans="1:14" ht="12.75">
      <c r="A244" s="68"/>
      <c r="B244" s="74" t="s">
        <v>2535</v>
      </c>
      <c r="C244" s="63"/>
      <c r="D244" s="64" t="s">
        <v>2554</v>
      </c>
      <c r="E244" s="66" t="s">
        <v>2555</v>
      </c>
      <c r="F244" s="66" t="s">
        <v>1663</v>
      </c>
      <c r="G244" s="65" t="s">
        <v>1664</v>
      </c>
      <c r="H244" s="67" t="s">
        <v>2556</v>
      </c>
      <c r="I244" s="67" t="s">
        <v>2557</v>
      </c>
      <c r="J244" s="67" t="s">
        <v>1667</v>
      </c>
      <c r="K244" s="65" t="s">
        <v>1668</v>
      </c>
      <c r="L244" s="65" t="s">
        <v>2558</v>
      </c>
      <c r="M244" s="65" t="s">
        <v>2559</v>
      </c>
      <c r="N244" s="63"/>
    </row>
    <row r="245" spans="1:14" ht="12.75">
      <c r="A245" s="68"/>
      <c r="B245" s="74" t="s">
        <v>2535</v>
      </c>
      <c r="C245" s="63"/>
      <c r="D245" s="64" t="s">
        <v>2560</v>
      </c>
      <c r="E245" s="66" t="s">
        <v>2561</v>
      </c>
      <c r="F245" s="64" t="s">
        <v>1673</v>
      </c>
      <c r="G245" s="67" t="s">
        <v>1674</v>
      </c>
      <c r="H245" s="67" t="s">
        <v>2562</v>
      </c>
      <c r="I245" s="67" t="s">
        <v>2563</v>
      </c>
      <c r="J245" s="67" t="s">
        <v>1673</v>
      </c>
      <c r="K245" s="65" t="s">
        <v>1928</v>
      </c>
      <c r="L245" s="65" t="s">
        <v>2564</v>
      </c>
      <c r="M245" s="65" t="s">
        <v>2565</v>
      </c>
      <c r="N245" s="63"/>
    </row>
    <row r="246" spans="1:14" ht="12.75">
      <c r="A246" s="68"/>
      <c r="B246" s="74" t="s">
        <v>2535</v>
      </c>
      <c r="C246" s="63"/>
      <c r="D246" s="64" t="s">
        <v>2566</v>
      </c>
      <c r="E246" s="66" t="s">
        <v>1307</v>
      </c>
      <c r="F246" s="66" t="s">
        <v>1682</v>
      </c>
      <c r="G246" s="67" t="s">
        <v>1976</v>
      </c>
      <c r="H246" s="65" t="s">
        <v>2567</v>
      </c>
      <c r="I246" s="67"/>
      <c r="J246" s="67" t="s">
        <v>1682</v>
      </c>
      <c r="K246" s="65" t="s">
        <v>2568</v>
      </c>
      <c r="L246" s="65" t="s">
        <v>2569</v>
      </c>
      <c r="M246" s="65"/>
      <c r="N246" s="63"/>
    </row>
    <row r="247" spans="1:14" ht="12.75">
      <c r="A247" s="68"/>
      <c r="B247" s="76" t="s">
        <v>2570</v>
      </c>
      <c r="C247" s="63"/>
      <c r="D247" s="64"/>
      <c r="E247" s="66"/>
      <c r="F247" s="66"/>
      <c r="G247" s="67"/>
      <c r="H247" s="67"/>
      <c r="I247" s="67"/>
      <c r="J247" s="67"/>
      <c r="K247" s="67"/>
      <c r="L247" s="65"/>
      <c r="M247" s="65"/>
      <c r="N247" s="63"/>
    </row>
    <row r="248" spans="1:14" ht="12.75">
      <c r="A248" s="68"/>
      <c r="B248" s="76" t="s">
        <v>2570</v>
      </c>
      <c r="C248" s="63"/>
      <c r="D248" s="64"/>
      <c r="E248" s="66"/>
      <c r="F248" s="66"/>
      <c r="G248" s="67"/>
      <c r="H248" s="67"/>
      <c r="I248" s="67"/>
      <c r="J248" s="67"/>
      <c r="K248" s="67"/>
      <c r="L248" s="65"/>
      <c r="M248" s="65"/>
      <c r="N248" s="63"/>
    </row>
    <row r="249" spans="1:14" ht="12.75">
      <c r="A249" s="68"/>
      <c r="B249" s="74" t="s">
        <v>2571</v>
      </c>
      <c r="C249" s="63"/>
      <c r="D249" s="64" t="s">
        <v>2572</v>
      </c>
      <c r="E249" s="64" t="s">
        <v>2573</v>
      </c>
      <c r="F249" s="64" t="s">
        <v>1663</v>
      </c>
      <c r="G249" s="65" t="s">
        <v>2040</v>
      </c>
      <c r="H249" s="65" t="s">
        <v>2574</v>
      </c>
      <c r="I249" s="65" t="s">
        <v>2575</v>
      </c>
      <c r="J249" s="65" t="s">
        <v>1667</v>
      </c>
      <c r="K249" s="65" t="s">
        <v>1668</v>
      </c>
      <c r="L249" s="65" t="s">
        <v>2576</v>
      </c>
      <c r="M249" s="65" t="s">
        <v>2577</v>
      </c>
      <c r="N249" s="63"/>
    </row>
    <row r="250" spans="1:14" ht="12.75">
      <c r="A250" s="68"/>
      <c r="B250" s="74" t="s">
        <v>2571</v>
      </c>
      <c r="C250" s="63"/>
      <c r="D250" s="64" t="s">
        <v>2578</v>
      </c>
      <c r="E250" s="64" t="s">
        <v>2579</v>
      </c>
      <c r="F250" s="64" t="s">
        <v>1673</v>
      </c>
      <c r="G250" s="65" t="s">
        <v>1674</v>
      </c>
      <c r="H250" s="65" t="s">
        <v>2580</v>
      </c>
      <c r="I250" s="65" t="s">
        <v>2581</v>
      </c>
      <c r="J250" s="65" t="s">
        <v>1673</v>
      </c>
      <c r="K250" s="65" t="s">
        <v>1928</v>
      </c>
      <c r="L250" s="65" t="s">
        <v>2582</v>
      </c>
      <c r="M250" s="65" t="s">
        <v>2583</v>
      </c>
      <c r="N250" s="63"/>
    </row>
    <row r="251" spans="1:14" ht="12.75">
      <c r="A251" s="68"/>
      <c r="B251" s="74" t="s">
        <v>2571</v>
      </c>
      <c r="C251" s="63"/>
      <c r="D251" s="64" t="s">
        <v>2584</v>
      </c>
      <c r="E251" s="64" t="s">
        <v>2585</v>
      </c>
      <c r="F251" s="64" t="s">
        <v>1673</v>
      </c>
      <c r="G251" s="65" t="s">
        <v>1674</v>
      </c>
      <c r="H251" s="65" t="s">
        <v>2586</v>
      </c>
      <c r="I251" s="65" t="s">
        <v>2587</v>
      </c>
      <c r="J251" s="65" t="s">
        <v>1673</v>
      </c>
      <c r="K251" s="65" t="s">
        <v>1928</v>
      </c>
      <c r="L251" s="65" t="s">
        <v>2588</v>
      </c>
      <c r="M251" s="65" t="s">
        <v>2589</v>
      </c>
      <c r="N251" s="63"/>
    </row>
    <row r="252" spans="1:14" ht="12.75">
      <c r="A252" s="68"/>
      <c r="B252" s="74" t="s">
        <v>2571</v>
      </c>
      <c r="C252" s="63"/>
      <c r="D252" s="64" t="s">
        <v>2590</v>
      </c>
      <c r="E252" s="64" t="s">
        <v>2591</v>
      </c>
      <c r="F252" s="64" t="s">
        <v>1818</v>
      </c>
      <c r="G252" s="65" t="s">
        <v>1819</v>
      </c>
      <c r="H252" s="65">
        <v>8160603019290220</v>
      </c>
      <c r="I252" s="65" t="s">
        <v>2592</v>
      </c>
      <c r="J252" s="65" t="s">
        <v>1682</v>
      </c>
      <c r="K252" s="65" t="s">
        <v>2077</v>
      </c>
      <c r="L252" s="65" t="s">
        <v>2593</v>
      </c>
      <c r="M252" s="65" t="s">
        <v>2594</v>
      </c>
      <c r="N252" s="63"/>
    </row>
    <row r="253" spans="1:14" ht="12.75">
      <c r="A253" s="68"/>
      <c r="B253" s="76" t="s">
        <v>2595</v>
      </c>
      <c r="C253" s="63"/>
      <c r="D253" s="64"/>
      <c r="E253" s="64"/>
      <c r="F253" s="64"/>
      <c r="G253" s="65"/>
      <c r="H253" s="65"/>
      <c r="I253" s="65"/>
      <c r="J253" s="65"/>
      <c r="K253" s="65"/>
      <c r="L253" s="65"/>
      <c r="M253" s="65"/>
      <c r="N253" s="63"/>
    </row>
    <row r="254" spans="1:14" ht="12.75">
      <c r="A254" s="68"/>
      <c r="B254" s="76" t="s">
        <v>2595</v>
      </c>
      <c r="C254" s="63"/>
      <c r="D254" s="64"/>
      <c r="E254" s="64"/>
      <c r="F254" s="64"/>
      <c r="G254" s="65"/>
      <c r="H254" s="65"/>
      <c r="I254" s="65"/>
      <c r="J254" s="65"/>
      <c r="K254" s="65"/>
      <c r="L254" s="65"/>
      <c r="M254" s="65"/>
      <c r="N254" s="63"/>
    </row>
    <row r="255" spans="1:14" ht="12.75">
      <c r="A255" s="68"/>
      <c r="B255" s="76" t="s">
        <v>2595</v>
      </c>
      <c r="C255" s="63"/>
      <c r="D255" s="64"/>
      <c r="E255" s="64"/>
      <c r="F255" s="64"/>
      <c r="G255" s="65"/>
      <c r="H255" s="65"/>
      <c r="I255" s="65"/>
      <c r="J255" s="65"/>
      <c r="K255" s="65"/>
      <c r="L255" s="65"/>
      <c r="M255" s="65"/>
      <c r="N255" s="63"/>
    </row>
    <row r="256" spans="1:14" ht="12.75">
      <c r="A256" s="68"/>
      <c r="B256" s="74" t="s">
        <v>2596</v>
      </c>
      <c r="C256" s="63"/>
      <c r="D256" s="64" t="s">
        <v>2597</v>
      </c>
      <c r="E256" s="64" t="s">
        <v>2598</v>
      </c>
      <c r="F256" s="64" t="s">
        <v>1663</v>
      </c>
      <c r="G256" s="67" t="s">
        <v>1664</v>
      </c>
      <c r="H256" s="67" t="s">
        <v>2599</v>
      </c>
      <c r="I256" s="67" t="s">
        <v>2600</v>
      </c>
      <c r="J256" s="67" t="s">
        <v>1667</v>
      </c>
      <c r="K256" s="65" t="s">
        <v>1668</v>
      </c>
      <c r="L256" s="65" t="s">
        <v>2601</v>
      </c>
      <c r="M256" s="65" t="s">
        <v>2602</v>
      </c>
      <c r="N256" s="63"/>
    </row>
    <row r="257" spans="1:14" ht="12.75">
      <c r="A257" s="68"/>
      <c r="B257" s="74" t="s">
        <v>2596</v>
      </c>
      <c r="C257" s="63"/>
      <c r="D257" s="64" t="s">
        <v>2603</v>
      </c>
      <c r="E257" s="66" t="s">
        <v>2604</v>
      </c>
      <c r="F257" s="66" t="s">
        <v>1818</v>
      </c>
      <c r="G257" s="67" t="s">
        <v>1819</v>
      </c>
      <c r="H257" s="84" t="s">
        <v>2605</v>
      </c>
      <c r="I257" s="67" t="s">
        <v>2606</v>
      </c>
      <c r="J257" s="67" t="s">
        <v>1682</v>
      </c>
      <c r="K257" s="67" t="s">
        <v>2131</v>
      </c>
      <c r="L257" s="65" t="s">
        <v>2607</v>
      </c>
      <c r="M257" s="65" t="s">
        <v>1687</v>
      </c>
      <c r="N257" s="63"/>
    </row>
    <row r="258" spans="1:14" ht="12.75">
      <c r="A258" s="68"/>
      <c r="B258" s="74" t="s">
        <v>2596</v>
      </c>
      <c r="C258" s="63"/>
      <c r="D258" s="64" t="s">
        <v>2037</v>
      </c>
      <c r="E258" s="64"/>
      <c r="F258" s="66"/>
      <c r="G258" s="67"/>
      <c r="H258" s="67"/>
      <c r="I258" s="67"/>
      <c r="J258" s="67"/>
      <c r="K258" s="67"/>
      <c r="L258" s="65"/>
      <c r="M258" s="65"/>
      <c r="N258" s="63"/>
    </row>
    <row r="259" spans="1:14" ht="12.75">
      <c r="A259" s="68"/>
      <c r="B259" s="74" t="s">
        <v>2596</v>
      </c>
      <c r="C259" s="63"/>
      <c r="D259" s="64" t="s">
        <v>2037</v>
      </c>
      <c r="E259" s="64"/>
      <c r="F259" s="66"/>
      <c r="G259" s="67"/>
      <c r="H259" s="67"/>
      <c r="I259" s="67"/>
      <c r="J259" s="67"/>
      <c r="K259" s="67"/>
      <c r="L259" s="65"/>
      <c r="M259" s="65"/>
      <c r="N259" s="63"/>
    </row>
    <row r="260" spans="1:14" ht="12.75">
      <c r="A260" s="68"/>
      <c r="B260" s="74" t="s">
        <v>2596</v>
      </c>
      <c r="C260" s="63"/>
      <c r="D260" s="64" t="s">
        <v>2037</v>
      </c>
      <c r="E260" s="64"/>
      <c r="F260" s="66"/>
      <c r="G260" s="67"/>
      <c r="H260" s="67"/>
      <c r="I260" s="67"/>
      <c r="J260" s="67"/>
      <c r="K260" s="67"/>
      <c r="L260" s="65"/>
      <c r="M260" s="65"/>
      <c r="N260" s="63"/>
    </row>
    <row r="261" spans="1:14" ht="12.75">
      <c r="A261" s="68"/>
      <c r="B261" s="76" t="s">
        <v>2608</v>
      </c>
      <c r="C261" s="63"/>
      <c r="D261" s="64"/>
      <c r="E261" s="64"/>
      <c r="F261" s="66"/>
      <c r="G261" s="67"/>
      <c r="H261" s="67"/>
      <c r="I261" s="67"/>
      <c r="J261" s="67"/>
      <c r="K261" s="67"/>
      <c r="L261" s="65"/>
      <c r="M261" s="65"/>
      <c r="N261" s="63"/>
    </row>
    <row r="262" spans="1:14" ht="12.75">
      <c r="A262" s="68"/>
      <c r="B262" s="76" t="s">
        <v>2608</v>
      </c>
      <c r="C262" s="63"/>
      <c r="D262" s="64"/>
      <c r="E262" s="64"/>
      <c r="F262" s="66"/>
      <c r="G262" s="67"/>
      <c r="H262" s="67"/>
      <c r="I262" s="67"/>
      <c r="J262" s="67"/>
      <c r="K262" s="67"/>
      <c r="L262" s="65"/>
      <c r="M262" s="65"/>
      <c r="N262" s="63"/>
    </row>
    <row r="263" spans="1:14" ht="12.75">
      <c r="A263" s="68"/>
      <c r="B263" s="76" t="s">
        <v>2608</v>
      </c>
      <c r="C263" s="63"/>
      <c r="D263" s="64"/>
      <c r="E263" s="64"/>
      <c r="F263" s="66"/>
      <c r="G263" s="67"/>
      <c r="H263" s="67"/>
      <c r="I263" s="67"/>
      <c r="J263" s="67"/>
      <c r="K263" s="67"/>
      <c r="L263" s="65"/>
      <c r="M263" s="65"/>
      <c r="N263" s="63"/>
    </row>
    <row r="264" spans="1:14" ht="12.75">
      <c r="A264" s="68"/>
      <c r="B264" s="74" t="s">
        <v>2609</v>
      </c>
      <c r="C264" s="63"/>
      <c r="D264" s="64" t="s">
        <v>2610</v>
      </c>
      <c r="E264" s="64" t="s">
        <v>2611</v>
      </c>
      <c r="F264" s="64" t="s">
        <v>1673</v>
      </c>
      <c r="G264" s="65" t="s">
        <v>1674</v>
      </c>
      <c r="H264" s="67" t="s">
        <v>2612</v>
      </c>
      <c r="I264" s="67" t="s">
        <v>2613</v>
      </c>
      <c r="J264" s="65" t="s">
        <v>1673</v>
      </c>
      <c r="K264" s="65" t="s">
        <v>1928</v>
      </c>
      <c r="L264" s="65" t="s">
        <v>2614</v>
      </c>
      <c r="M264" s="65" t="s">
        <v>2615</v>
      </c>
      <c r="N264" s="63"/>
    </row>
    <row r="265" spans="1:14" ht="12.75">
      <c r="A265" s="68"/>
      <c r="B265" s="74" t="s">
        <v>2609</v>
      </c>
      <c r="C265" s="63"/>
      <c r="D265" s="64" t="s">
        <v>2616</v>
      </c>
      <c r="E265" s="64" t="s">
        <v>2617</v>
      </c>
      <c r="F265" s="64" t="s">
        <v>1673</v>
      </c>
      <c r="G265" s="65" t="s">
        <v>1674</v>
      </c>
      <c r="H265" s="67" t="s">
        <v>2618</v>
      </c>
      <c r="I265" s="67" t="s">
        <v>2619</v>
      </c>
      <c r="J265" s="65" t="s">
        <v>1673</v>
      </c>
      <c r="K265" s="65" t="s">
        <v>1928</v>
      </c>
      <c r="L265" s="65" t="s">
        <v>2620</v>
      </c>
      <c r="M265" s="65" t="s">
        <v>2621</v>
      </c>
      <c r="N265" s="63"/>
    </row>
    <row r="266" spans="1:14" ht="12.75">
      <c r="A266" s="68"/>
      <c r="B266" s="74" t="s">
        <v>2609</v>
      </c>
      <c r="C266" s="63"/>
      <c r="D266" s="64" t="s">
        <v>2622</v>
      </c>
      <c r="E266" s="64" t="s">
        <v>2623</v>
      </c>
      <c r="F266" s="64" t="s">
        <v>1673</v>
      </c>
      <c r="G266" s="65" t="s">
        <v>1674</v>
      </c>
      <c r="H266" s="67" t="s">
        <v>2624</v>
      </c>
      <c r="I266" s="67" t="s">
        <v>2625</v>
      </c>
      <c r="J266" s="65" t="s">
        <v>1673</v>
      </c>
      <c r="K266" s="65" t="s">
        <v>1928</v>
      </c>
      <c r="L266" s="65" t="s">
        <v>2626</v>
      </c>
      <c r="M266" s="65" t="s">
        <v>2627</v>
      </c>
      <c r="N266" s="63"/>
    </row>
    <row r="267" spans="1:14" ht="12.75">
      <c r="A267" s="68"/>
      <c r="B267" s="74" t="s">
        <v>2609</v>
      </c>
      <c r="C267" s="63"/>
      <c r="D267" s="64" t="s">
        <v>2628</v>
      </c>
      <c r="E267" s="64" t="s">
        <v>2629</v>
      </c>
      <c r="F267" s="64" t="s">
        <v>1673</v>
      </c>
      <c r="G267" s="65" t="s">
        <v>1674</v>
      </c>
      <c r="H267" s="67" t="s">
        <v>2630</v>
      </c>
      <c r="I267" s="67" t="s">
        <v>2631</v>
      </c>
      <c r="J267" s="65" t="s">
        <v>1673</v>
      </c>
      <c r="K267" s="65" t="s">
        <v>1928</v>
      </c>
      <c r="L267" s="65" t="s">
        <v>2632</v>
      </c>
      <c r="M267" s="65" t="s">
        <v>2633</v>
      </c>
      <c r="N267" s="63"/>
    </row>
    <row r="268" spans="1:14" ht="12.75">
      <c r="A268" s="68"/>
      <c r="B268" s="74" t="s">
        <v>2609</v>
      </c>
      <c r="C268" s="63"/>
      <c r="D268" s="64" t="s">
        <v>2634</v>
      </c>
      <c r="E268" s="64" t="s">
        <v>2635</v>
      </c>
      <c r="F268" s="64" t="s">
        <v>1673</v>
      </c>
      <c r="G268" s="65" t="s">
        <v>1674</v>
      </c>
      <c r="H268" s="67" t="s">
        <v>2636</v>
      </c>
      <c r="I268" s="67" t="s">
        <v>2637</v>
      </c>
      <c r="J268" s="65" t="s">
        <v>1673</v>
      </c>
      <c r="K268" s="65" t="s">
        <v>1928</v>
      </c>
      <c r="L268" s="65" t="s">
        <v>2638</v>
      </c>
      <c r="M268" s="65" t="s">
        <v>2639</v>
      </c>
      <c r="N268" s="63"/>
    </row>
    <row r="269" spans="1:14" ht="12.75">
      <c r="A269" s="68"/>
      <c r="B269" s="74" t="s">
        <v>2609</v>
      </c>
      <c r="C269" s="63"/>
      <c r="D269" s="64" t="s">
        <v>2640</v>
      </c>
      <c r="E269" s="64" t="s">
        <v>2641</v>
      </c>
      <c r="F269" s="64" t="s">
        <v>1673</v>
      </c>
      <c r="G269" s="65" t="s">
        <v>1674</v>
      </c>
      <c r="H269" s="67" t="s">
        <v>2642</v>
      </c>
      <c r="I269" s="67" t="s">
        <v>2643</v>
      </c>
      <c r="J269" s="65" t="s">
        <v>1673</v>
      </c>
      <c r="K269" s="65" t="s">
        <v>1928</v>
      </c>
      <c r="L269" s="65" t="s">
        <v>2644</v>
      </c>
      <c r="M269" s="65" t="s">
        <v>2645</v>
      </c>
      <c r="N269" s="63"/>
    </row>
    <row r="270" spans="1:14" ht="12.75">
      <c r="A270" s="68"/>
      <c r="B270" s="74" t="s">
        <v>2609</v>
      </c>
      <c r="C270" s="63"/>
      <c r="D270" s="64" t="s">
        <v>2646</v>
      </c>
      <c r="E270" s="64" t="s">
        <v>2647</v>
      </c>
      <c r="F270" s="64" t="s">
        <v>1673</v>
      </c>
      <c r="G270" s="65" t="s">
        <v>1674</v>
      </c>
      <c r="H270" s="67" t="s">
        <v>2648</v>
      </c>
      <c r="I270" s="67" t="s">
        <v>2649</v>
      </c>
      <c r="J270" s="65" t="s">
        <v>1673</v>
      </c>
      <c r="K270" s="65" t="s">
        <v>1928</v>
      </c>
      <c r="L270" s="65" t="s">
        <v>2650</v>
      </c>
      <c r="M270" s="65" t="s">
        <v>2651</v>
      </c>
      <c r="N270" s="63"/>
    </row>
    <row r="271" spans="1:14" ht="12.75">
      <c r="A271" s="68"/>
      <c r="B271" s="74" t="s">
        <v>2609</v>
      </c>
      <c r="C271" s="63"/>
      <c r="D271" s="64" t="s">
        <v>2652</v>
      </c>
      <c r="E271" s="64" t="s">
        <v>2653</v>
      </c>
      <c r="F271" s="64" t="s">
        <v>1673</v>
      </c>
      <c r="G271" s="65" t="s">
        <v>1674</v>
      </c>
      <c r="H271" s="67" t="s">
        <v>2654</v>
      </c>
      <c r="I271" s="67" t="s">
        <v>2655</v>
      </c>
      <c r="J271" s="65" t="s">
        <v>1673</v>
      </c>
      <c r="K271" s="65" t="s">
        <v>1928</v>
      </c>
      <c r="L271" s="65" t="s">
        <v>2656</v>
      </c>
      <c r="M271" s="65" t="s">
        <v>2657</v>
      </c>
      <c r="N271" s="63"/>
    </row>
    <row r="272" spans="1:14" ht="12.75">
      <c r="A272" s="68"/>
      <c r="B272" s="74" t="s">
        <v>2609</v>
      </c>
      <c r="C272" s="63"/>
      <c r="D272" s="64" t="s">
        <v>2658</v>
      </c>
      <c r="E272" s="64" t="s">
        <v>2659</v>
      </c>
      <c r="F272" s="64" t="s">
        <v>1673</v>
      </c>
      <c r="G272" s="65" t="s">
        <v>1674</v>
      </c>
      <c r="H272" s="67" t="s">
        <v>2660</v>
      </c>
      <c r="I272" s="67" t="s">
        <v>2661</v>
      </c>
      <c r="J272" s="65" t="s">
        <v>1673</v>
      </c>
      <c r="K272" s="65" t="s">
        <v>1928</v>
      </c>
      <c r="L272" s="65" t="s">
        <v>2662</v>
      </c>
      <c r="M272" s="65" t="s">
        <v>2663</v>
      </c>
      <c r="N272" s="63"/>
    </row>
    <row r="273" spans="1:14" ht="12.75">
      <c r="A273" s="68"/>
      <c r="B273" s="74" t="s">
        <v>2609</v>
      </c>
      <c r="C273" s="63"/>
      <c r="D273" s="64" t="s">
        <v>2664</v>
      </c>
      <c r="E273" s="64" t="s">
        <v>2665</v>
      </c>
      <c r="F273" s="64" t="s">
        <v>1673</v>
      </c>
      <c r="G273" s="65" t="s">
        <v>1674</v>
      </c>
      <c r="H273" s="67" t="s">
        <v>2666</v>
      </c>
      <c r="I273" s="67" t="s">
        <v>2667</v>
      </c>
      <c r="J273" s="65" t="s">
        <v>1673</v>
      </c>
      <c r="K273" s="65" t="s">
        <v>1928</v>
      </c>
      <c r="L273" s="65" t="s">
        <v>2668</v>
      </c>
      <c r="M273" s="65" t="s">
        <v>2669</v>
      </c>
      <c r="N273" s="63"/>
    </row>
    <row r="274" spans="1:14" ht="12.75">
      <c r="A274" s="68"/>
      <c r="B274" s="74" t="s">
        <v>2609</v>
      </c>
      <c r="C274" s="63"/>
      <c r="D274" s="64" t="s">
        <v>2670</v>
      </c>
      <c r="E274" s="64" t="s">
        <v>2671</v>
      </c>
      <c r="F274" s="64" t="s">
        <v>1673</v>
      </c>
      <c r="G274" s="65" t="s">
        <v>1674</v>
      </c>
      <c r="H274" s="67" t="s">
        <v>2672</v>
      </c>
      <c r="I274" s="67" t="s">
        <v>2673</v>
      </c>
      <c r="J274" s="65" t="s">
        <v>1673</v>
      </c>
      <c r="K274" s="65" t="s">
        <v>1928</v>
      </c>
      <c r="L274" s="65" t="s">
        <v>2674</v>
      </c>
      <c r="M274" s="65" t="s">
        <v>2675</v>
      </c>
      <c r="N274" s="63"/>
    </row>
    <row r="275" spans="1:14" ht="12.75">
      <c r="A275" s="68"/>
      <c r="B275" s="74" t="s">
        <v>2609</v>
      </c>
      <c r="C275" s="63"/>
      <c r="D275" s="64" t="s">
        <v>2676</v>
      </c>
      <c r="E275" s="64" t="s">
        <v>2677</v>
      </c>
      <c r="F275" s="64" t="s">
        <v>1673</v>
      </c>
      <c r="G275" s="65" t="s">
        <v>1674</v>
      </c>
      <c r="H275" s="67" t="s">
        <v>2678</v>
      </c>
      <c r="I275" s="67" t="s">
        <v>2679</v>
      </c>
      <c r="J275" s="65" t="s">
        <v>1673</v>
      </c>
      <c r="K275" s="65" t="s">
        <v>1928</v>
      </c>
      <c r="L275" s="65" t="s">
        <v>2680</v>
      </c>
      <c r="M275" s="65" t="s">
        <v>2681</v>
      </c>
      <c r="N275" s="63"/>
    </row>
    <row r="276" spans="1:14" ht="12.75">
      <c r="A276" s="68"/>
      <c r="B276" s="74" t="s">
        <v>2609</v>
      </c>
      <c r="C276" s="63"/>
      <c r="D276" s="64" t="s">
        <v>2682</v>
      </c>
      <c r="E276" s="64" t="s">
        <v>2653</v>
      </c>
      <c r="F276" s="64" t="s">
        <v>1673</v>
      </c>
      <c r="G276" s="65" t="s">
        <v>1674</v>
      </c>
      <c r="H276" s="67" t="s">
        <v>2683</v>
      </c>
      <c r="I276" s="67" t="s">
        <v>2684</v>
      </c>
      <c r="J276" s="65" t="s">
        <v>1673</v>
      </c>
      <c r="K276" s="65" t="s">
        <v>1928</v>
      </c>
      <c r="L276" s="65" t="s">
        <v>2685</v>
      </c>
      <c r="M276" s="65" t="s">
        <v>2686</v>
      </c>
      <c r="N276" s="63"/>
    </row>
    <row r="277" spans="1:14" ht="12.75">
      <c r="A277" s="68"/>
      <c r="B277" s="74" t="s">
        <v>2609</v>
      </c>
      <c r="C277" s="63"/>
      <c r="D277" s="64" t="s">
        <v>2687</v>
      </c>
      <c r="E277" s="64" t="s">
        <v>2688</v>
      </c>
      <c r="F277" s="64" t="s">
        <v>1673</v>
      </c>
      <c r="G277" s="65" t="s">
        <v>1674</v>
      </c>
      <c r="H277" s="67" t="s">
        <v>2689</v>
      </c>
      <c r="I277" s="67" t="s">
        <v>2690</v>
      </c>
      <c r="J277" s="65" t="s">
        <v>1673</v>
      </c>
      <c r="K277" s="65" t="s">
        <v>1928</v>
      </c>
      <c r="L277" s="65" t="s">
        <v>2691</v>
      </c>
      <c r="M277" s="65" t="s">
        <v>2692</v>
      </c>
      <c r="N277" s="63"/>
    </row>
    <row r="278" spans="1:14" ht="12.75">
      <c r="A278" s="68"/>
      <c r="B278" s="74" t="s">
        <v>2609</v>
      </c>
      <c r="C278" s="63"/>
      <c r="D278" s="64" t="s">
        <v>2693</v>
      </c>
      <c r="E278" s="64" t="s">
        <v>2653</v>
      </c>
      <c r="F278" s="64" t="s">
        <v>1682</v>
      </c>
      <c r="G278" s="65" t="s">
        <v>1683</v>
      </c>
      <c r="H278" s="67" t="s">
        <v>2694</v>
      </c>
      <c r="I278" s="67" t="s">
        <v>2695</v>
      </c>
      <c r="J278" s="65" t="s">
        <v>1682</v>
      </c>
      <c r="K278" s="65" t="s">
        <v>1837</v>
      </c>
      <c r="L278" s="65">
        <v>39470978</v>
      </c>
      <c r="M278" s="65" t="s">
        <v>2696</v>
      </c>
      <c r="N278" s="63"/>
    </row>
    <row r="279" spans="1:14" ht="12.75">
      <c r="A279" s="68"/>
      <c r="B279" s="74" t="s">
        <v>2609</v>
      </c>
      <c r="C279" s="63"/>
      <c r="D279" s="64" t="s">
        <v>2697</v>
      </c>
      <c r="E279" s="64" t="s">
        <v>2697</v>
      </c>
      <c r="F279" s="64" t="s">
        <v>1682</v>
      </c>
      <c r="G279" s="65" t="s">
        <v>2074</v>
      </c>
      <c r="H279" s="67" t="s">
        <v>2698</v>
      </c>
      <c r="I279" s="67" t="s">
        <v>2699</v>
      </c>
      <c r="J279" s="65" t="s">
        <v>1682</v>
      </c>
      <c r="K279" s="65" t="s">
        <v>1837</v>
      </c>
      <c r="L279" s="65">
        <v>30708570</v>
      </c>
      <c r="M279" s="65" t="s">
        <v>2700</v>
      </c>
      <c r="N279" s="63"/>
    </row>
    <row r="280" spans="1:14" ht="12.75">
      <c r="A280" s="68"/>
      <c r="B280" s="74" t="s">
        <v>2609</v>
      </c>
      <c r="C280" s="63"/>
      <c r="D280" s="64" t="s">
        <v>2701</v>
      </c>
      <c r="E280" s="64" t="s">
        <v>2702</v>
      </c>
      <c r="F280" s="64" t="s">
        <v>1663</v>
      </c>
      <c r="G280" s="65" t="s">
        <v>2040</v>
      </c>
      <c r="H280" s="67" t="s">
        <v>2703</v>
      </c>
      <c r="I280" s="67" t="s">
        <v>2704</v>
      </c>
      <c r="J280" s="65" t="s">
        <v>1667</v>
      </c>
      <c r="K280" s="65" t="s">
        <v>1668</v>
      </c>
      <c r="L280" s="65" t="s">
        <v>2705</v>
      </c>
      <c r="M280" s="65" t="s">
        <v>2706</v>
      </c>
      <c r="N280" s="63"/>
    </row>
    <row r="281" spans="1:14" ht="12.75">
      <c r="A281" s="68"/>
      <c r="B281" s="74" t="s">
        <v>2707</v>
      </c>
      <c r="C281" s="63"/>
      <c r="D281" s="64" t="s">
        <v>2708</v>
      </c>
      <c r="E281" s="64" t="s">
        <v>2709</v>
      </c>
      <c r="F281" s="64" t="s">
        <v>1818</v>
      </c>
      <c r="G281" s="65" t="s">
        <v>2398</v>
      </c>
      <c r="H281" s="84" t="s">
        <v>2710</v>
      </c>
      <c r="I281" s="67" t="s">
        <v>2711</v>
      </c>
      <c r="J281" s="65" t="s">
        <v>2712</v>
      </c>
      <c r="K281" s="65" t="s">
        <v>2713</v>
      </c>
      <c r="L281" s="65" t="s">
        <v>2714</v>
      </c>
      <c r="M281" s="65" t="s">
        <v>2715</v>
      </c>
      <c r="N281" s="63"/>
    </row>
    <row r="282" spans="1:14" ht="12.75">
      <c r="A282" s="68"/>
      <c r="B282" s="76" t="s">
        <v>2716</v>
      </c>
      <c r="C282" s="63"/>
      <c r="D282" s="64"/>
      <c r="E282" s="64"/>
      <c r="F282" s="64"/>
      <c r="G282" s="65"/>
      <c r="H282" s="67"/>
      <c r="I282" s="67"/>
      <c r="J282" s="65"/>
      <c r="K282" s="65"/>
      <c r="L282" s="65"/>
      <c r="M282" s="65"/>
      <c r="N282" s="63"/>
    </row>
    <row r="283" spans="1:14" ht="12.75">
      <c r="A283" s="68"/>
      <c r="B283" s="76" t="s">
        <v>2716</v>
      </c>
      <c r="C283" s="63"/>
      <c r="D283" s="64"/>
      <c r="E283" s="64"/>
      <c r="F283" s="64"/>
      <c r="G283" s="65"/>
      <c r="H283" s="67"/>
      <c r="I283" s="67"/>
      <c r="J283" s="65"/>
      <c r="K283" s="65"/>
      <c r="L283" s="65"/>
      <c r="M283" s="65"/>
      <c r="N283" s="63"/>
    </row>
    <row r="284" spans="1:14" ht="12.75">
      <c r="A284" s="68"/>
      <c r="B284" s="74" t="s">
        <v>2717</v>
      </c>
      <c r="C284" s="63"/>
      <c r="D284" s="64" t="s">
        <v>2718</v>
      </c>
      <c r="E284" s="66" t="s">
        <v>2719</v>
      </c>
      <c r="F284" s="64" t="s">
        <v>1673</v>
      </c>
      <c r="G284" s="67" t="s">
        <v>1674</v>
      </c>
      <c r="H284" s="67" t="s">
        <v>2720</v>
      </c>
      <c r="I284" s="67" t="s">
        <v>2721</v>
      </c>
      <c r="J284" s="65" t="s">
        <v>1673</v>
      </c>
      <c r="K284" s="65" t="s">
        <v>1928</v>
      </c>
      <c r="L284" s="65" t="s">
        <v>2722</v>
      </c>
      <c r="M284" s="65" t="s">
        <v>2723</v>
      </c>
      <c r="N284" s="63"/>
    </row>
    <row r="285" spans="1:14" ht="12.75">
      <c r="A285" s="68"/>
      <c r="B285" s="74" t="s">
        <v>2724</v>
      </c>
      <c r="C285" s="63"/>
      <c r="D285" s="64" t="s">
        <v>2725</v>
      </c>
      <c r="E285" s="66" t="s">
        <v>2726</v>
      </c>
      <c r="F285" s="64" t="s">
        <v>1673</v>
      </c>
      <c r="G285" s="67" t="s">
        <v>1674</v>
      </c>
      <c r="H285" s="67" t="s">
        <v>2727</v>
      </c>
      <c r="I285" s="67" t="s">
        <v>2728</v>
      </c>
      <c r="J285" s="65" t="s">
        <v>1673</v>
      </c>
      <c r="K285" s="65" t="s">
        <v>1928</v>
      </c>
      <c r="L285" s="65" t="s">
        <v>2729</v>
      </c>
      <c r="M285" s="65" t="s">
        <v>2730</v>
      </c>
      <c r="N285" s="63"/>
    </row>
    <row r="286" spans="1:14" ht="12.75">
      <c r="A286" s="68"/>
      <c r="B286" s="74" t="s">
        <v>2724</v>
      </c>
      <c r="C286" s="63"/>
      <c r="D286" s="64" t="s">
        <v>2731</v>
      </c>
      <c r="E286" s="66" t="s">
        <v>2732</v>
      </c>
      <c r="F286" s="64" t="s">
        <v>1673</v>
      </c>
      <c r="G286" s="67" t="s">
        <v>1674</v>
      </c>
      <c r="H286" s="67" t="s">
        <v>2733</v>
      </c>
      <c r="I286" s="67" t="s">
        <v>2734</v>
      </c>
      <c r="J286" s="65" t="s">
        <v>1673</v>
      </c>
      <c r="K286" s="65" t="s">
        <v>1928</v>
      </c>
      <c r="L286" s="65" t="s">
        <v>2735</v>
      </c>
      <c r="M286" s="65" t="s">
        <v>2736</v>
      </c>
      <c r="N286" s="63"/>
    </row>
    <row r="287" spans="1:14" ht="12.75">
      <c r="A287" s="68"/>
      <c r="B287" s="74" t="s">
        <v>2737</v>
      </c>
      <c r="C287" s="63"/>
      <c r="D287" s="64" t="s">
        <v>2738</v>
      </c>
      <c r="E287" s="66" t="s">
        <v>2739</v>
      </c>
      <c r="F287" s="64" t="s">
        <v>1673</v>
      </c>
      <c r="G287" s="67" t="s">
        <v>1674</v>
      </c>
      <c r="H287" s="67" t="s">
        <v>2740</v>
      </c>
      <c r="I287" s="67" t="s">
        <v>2741</v>
      </c>
      <c r="J287" s="65" t="s">
        <v>1673</v>
      </c>
      <c r="K287" s="65" t="s">
        <v>1928</v>
      </c>
      <c r="L287" s="65" t="s">
        <v>2742</v>
      </c>
      <c r="M287" s="65" t="s">
        <v>2743</v>
      </c>
      <c r="N287" s="63"/>
    </row>
    <row r="288" spans="1:14" ht="12.75">
      <c r="A288" s="68"/>
      <c r="B288" s="74" t="s">
        <v>2744</v>
      </c>
      <c r="C288" s="63"/>
      <c r="D288" s="64" t="s">
        <v>2745</v>
      </c>
      <c r="E288" s="66" t="s">
        <v>2746</v>
      </c>
      <c r="F288" s="64" t="s">
        <v>1663</v>
      </c>
      <c r="G288" s="65" t="s">
        <v>2040</v>
      </c>
      <c r="H288" s="67" t="s">
        <v>2747</v>
      </c>
      <c r="I288" s="67" t="s">
        <v>2748</v>
      </c>
      <c r="J288" s="65" t="s">
        <v>1667</v>
      </c>
      <c r="K288" s="65" t="s">
        <v>1668</v>
      </c>
      <c r="L288" s="65" t="s">
        <v>2749</v>
      </c>
      <c r="M288" s="65" t="s">
        <v>2750</v>
      </c>
      <c r="N288" s="63"/>
    </row>
    <row r="289" spans="1:14" ht="12.75">
      <c r="A289" s="68"/>
      <c r="B289" s="74" t="s">
        <v>2751</v>
      </c>
      <c r="C289" s="63"/>
      <c r="D289" s="64" t="s">
        <v>2752</v>
      </c>
      <c r="E289" s="66" t="s">
        <v>2753</v>
      </c>
      <c r="F289" s="64" t="s">
        <v>1663</v>
      </c>
      <c r="G289" s="65" t="s">
        <v>2040</v>
      </c>
      <c r="H289" s="67" t="s">
        <v>2754</v>
      </c>
      <c r="I289" s="67" t="s">
        <v>2755</v>
      </c>
      <c r="J289" s="65" t="s">
        <v>1667</v>
      </c>
      <c r="K289" s="65" t="s">
        <v>1668</v>
      </c>
      <c r="L289" s="65" t="s">
        <v>2756</v>
      </c>
      <c r="M289" s="65" t="s">
        <v>2757</v>
      </c>
      <c r="N289" s="63"/>
    </row>
    <row r="290" spans="1:14" ht="12.75">
      <c r="A290" s="68"/>
      <c r="B290" s="74" t="s">
        <v>2751</v>
      </c>
      <c r="C290" s="63"/>
      <c r="D290" s="64" t="s">
        <v>2758</v>
      </c>
      <c r="E290" s="66" t="s">
        <v>2759</v>
      </c>
      <c r="F290" s="64" t="s">
        <v>1663</v>
      </c>
      <c r="G290" s="67" t="s">
        <v>2760</v>
      </c>
      <c r="H290" s="67" t="s">
        <v>2761</v>
      </c>
      <c r="I290" s="67" t="s">
        <v>2762</v>
      </c>
      <c r="J290" s="65" t="s">
        <v>1667</v>
      </c>
      <c r="K290" s="65" t="s">
        <v>1668</v>
      </c>
      <c r="L290" s="65" t="s">
        <v>2763</v>
      </c>
      <c r="M290" s="65" t="s">
        <v>2764</v>
      </c>
      <c r="N290" s="63"/>
    </row>
    <row r="291" spans="1:14" ht="12.75">
      <c r="A291" s="68"/>
      <c r="B291" s="74" t="s">
        <v>2751</v>
      </c>
      <c r="C291" s="63"/>
      <c r="D291" s="64" t="s">
        <v>2765</v>
      </c>
      <c r="E291" s="66" t="s">
        <v>2766</v>
      </c>
      <c r="F291" s="64" t="s">
        <v>1663</v>
      </c>
      <c r="G291" s="65" t="s">
        <v>2040</v>
      </c>
      <c r="H291" s="67" t="s">
        <v>2767</v>
      </c>
      <c r="I291" s="67" t="s">
        <v>2768</v>
      </c>
      <c r="J291" s="65" t="s">
        <v>1667</v>
      </c>
      <c r="K291" s="65" t="s">
        <v>1668</v>
      </c>
      <c r="L291" s="65" t="s">
        <v>2769</v>
      </c>
      <c r="M291" s="65" t="s">
        <v>2770</v>
      </c>
      <c r="N291" s="63"/>
    </row>
    <row r="292" spans="1:14" ht="12.75">
      <c r="A292" s="68"/>
      <c r="B292" s="74" t="s">
        <v>2771</v>
      </c>
      <c r="C292" s="63"/>
      <c r="D292" s="64" t="s">
        <v>2772</v>
      </c>
      <c r="E292" s="66" t="s">
        <v>2773</v>
      </c>
      <c r="F292" s="66" t="s">
        <v>2774</v>
      </c>
      <c r="G292" s="67" t="s">
        <v>2775</v>
      </c>
      <c r="H292" s="67" t="s">
        <v>2776</v>
      </c>
      <c r="I292" s="67" t="s">
        <v>2777</v>
      </c>
      <c r="J292" s="67" t="s">
        <v>2778</v>
      </c>
      <c r="K292" s="67" t="s">
        <v>2778</v>
      </c>
      <c r="L292" s="65" t="s">
        <v>2778</v>
      </c>
      <c r="M292" s="65" t="s">
        <v>2778</v>
      </c>
      <c r="N292" s="63"/>
    </row>
    <row r="293" spans="1:14" ht="12.75">
      <c r="A293" s="68"/>
      <c r="B293" s="76" t="s">
        <v>2779</v>
      </c>
      <c r="C293" s="63"/>
      <c r="D293" s="64"/>
      <c r="E293" s="64"/>
      <c r="F293" s="66"/>
      <c r="G293" s="67"/>
      <c r="H293" s="67"/>
      <c r="I293" s="67"/>
      <c r="J293" s="67"/>
      <c r="K293" s="67"/>
      <c r="L293" s="65"/>
      <c r="M293" s="65"/>
      <c r="N293" s="63"/>
    </row>
    <row r="294" spans="1:14" ht="12.75">
      <c r="A294" s="68"/>
      <c r="B294" s="76" t="s">
        <v>2779</v>
      </c>
      <c r="C294" s="63"/>
      <c r="D294" s="64"/>
      <c r="E294" s="64"/>
      <c r="F294" s="66"/>
      <c r="G294" s="67"/>
      <c r="H294" s="67"/>
      <c r="I294" s="67"/>
      <c r="J294" s="67"/>
      <c r="K294" s="67"/>
      <c r="L294" s="65"/>
      <c r="M294" s="65"/>
      <c r="N294" s="63"/>
    </row>
    <row r="295" spans="1:14" ht="12.75">
      <c r="A295" s="68"/>
      <c r="B295" s="76" t="s">
        <v>2779</v>
      </c>
      <c r="C295" s="63"/>
      <c r="D295" s="64"/>
      <c r="E295" s="64"/>
      <c r="F295" s="66"/>
      <c r="G295" s="67"/>
      <c r="H295" s="67"/>
      <c r="I295" s="67"/>
      <c r="J295" s="67"/>
      <c r="K295" s="67"/>
      <c r="L295" s="65"/>
      <c r="M295" s="65"/>
      <c r="N295" s="63"/>
    </row>
    <row r="296" spans="1:14" ht="12.75">
      <c r="A296" s="68"/>
      <c r="B296" s="74" t="s">
        <v>2780</v>
      </c>
      <c r="C296" s="63"/>
      <c r="D296" s="64" t="s">
        <v>2781</v>
      </c>
      <c r="E296" s="64" t="s">
        <v>2782</v>
      </c>
      <c r="F296" s="64" t="s">
        <v>1673</v>
      </c>
      <c r="G296" s="65" t="s">
        <v>1674</v>
      </c>
      <c r="H296" s="65" t="s">
        <v>2783</v>
      </c>
      <c r="I296" s="75" t="s">
        <v>2784</v>
      </c>
      <c r="J296" s="65" t="s">
        <v>1673</v>
      </c>
      <c r="K296" s="65" t="s">
        <v>1928</v>
      </c>
      <c r="L296" s="65" t="s">
        <v>2785</v>
      </c>
      <c r="M296" s="65" t="s">
        <v>2786</v>
      </c>
      <c r="N296" s="63"/>
    </row>
    <row r="297" spans="1:14" ht="12.75">
      <c r="A297" s="68"/>
      <c r="B297" s="74" t="s">
        <v>2780</v>
      </c>
      <c r="C297" s="63"/>
      <c r="D297" s="64" t="s">
        <v>2787</v>
      </c>
      <c r="E297" s="64" t="s">
        <v>2788</v>
      </c>
      <c r="F297" s="64" t="s">
        <v>1673</v>
      </c>
      <c r="G297" s="65" t="s">
        <v>1674</v>
      </c>
      <c r="H297" s="65" t="s">
        <v>2789</v>
      </c>
      <c r="I297" s="65" t="s">
        <v>2790</v>
      </c>
      <c r="J297" s="65" t="s">
        <v>1673</v>
      </c>
      <c r="K297" s="65" t="s">
        <v>1928</v>
      </c>
      <c r="L297" s="65" t="s">
        <v>2791</v>
      </c>
      <c r="M297" s="65" t="s">
        <v>2792</v>
      </c>
      <c r="N297" s="63"/>
    </row>
    <row r="298" spans="1:14" ht="12.75">
      <c r="A298" s="68"/>
      <c r="B298" s="74" t="s">
        <v>2780</v>
      </c>
      <c r="C298" s="63"/>
      <c r="D298" s="64" t="s">
        <v>2793</v>
      </c>
      <c r="E298" s="64" t="s">
        <v>2794</v>
      </c>
      <c r="F298" s="64" t="s">
        <v>1663</v>
      </c>
      <c r="G298" s="65" t="s">
        <v>1664</v>
      </c>
      <c r="H298" s="65" t="s">
        <v>2795</v>
      </c>
      <c r="I298" s="65" t="s">
        <v>2796</v>
      </c>
      <c r="J298" s="65" t="s">
        <v>1667</v>
      </c>
      <c r="K298" s="65" t="s">
        <v>1668</v>
      </c>
      <c r="L298" s="65" t="s">
        <v>2797</v>
      </c>
      <c r="M298" s="65" t="s">
        <v>2798</v>
      </c>
      <c r="N298" s="63"/>
    </row>
    <row r="299" spans="1:14" ht="12.75">
      <c r="A299" s="68"/>
      <c r="B299" s="74" t="s">
        <v>2780</v>
      </c>
      <c r="C299" s="63"/>
      <c r="D299" s="64" t="s">
        <v>2799</v>
      </c>
      <c r="E299" s="64" t="s">
        <v>2800</v>
      </c>
      <c r="F299" s="64" t="s">
        <v>1673</v>
      </c>
      <c r="G299" s="65" t="s">
        <v>1674</v>
      </c>
      <c r="H299" s="65" t="s">
        <v>2801</v>
      </c>
      <c r="I299" s="65" t="s">
        <v>2802</v>
      </c>
      <c r="J299" s="65" t="s">
        <v>1673</v>
      </c>
      <c r="K299" s="65" t="s">
        <v>1928</v>
      </c>
      <c r="L299" s="65" t="s">
        <v>2803</v>
      </c>
      <c r="M299" s="65" t="s">
        <v>2804</v>
      </c>
      <c r="N299" s="63"/>
    </row>
    <row r="300" spans="1:14" ht="12.75">
      <c r="A300" s="68"/>
      <c r="B300" s="76" t="s">
        <v>2805</v>
      </c>
      <c r="C300" s="63"/>
      <c r="D300" s="64"/>
      <c r="E300" s="64"/>
      <c r="F300" s="64"/>
      <c r="G300" s="65"/>
      <c r="H300" s="65"/>
      <c r="I300" s="65"/>
      <c r="J300" s="65"/>
      <c r="K300" s="65"/>
      <c r="L300" s="65"/>
      <c r="M300" s="65"/>
      <c r="N300" s="63"/>
    </row>
    <row r="301" spans="1:14" ht="12.75">
      <c r="A301" s="68"/>
      <c r="B301" s="76" t="s">
        <v>2805</v>
      </c>
      <c r="C301" s="63"/>
      <c r="D301" s="64"/>
      <c r="E301" s="64"/>
      <c r="F301" s="64"/>
      <c r="G301" s="65"/>
      <c r="H301" s="65"/>
      <c r="I301" s="65"/>
      <c r="J301" s="65"/>
      <c r="K301" s="65"/>
      <c r="L301" s="65"/>
      <c r="M301" s="65"/>
      <c r="N301" s="63"/>
    </row>
    <row r="302" spans="1:14" ht="12.75">
      <c r="A302" s="68"/>
      <c r="B302" s="76" t="s">
        <v>2805</v>
      </c>
      <c r="C302" s="63"/>
      <c r="D302" s="64"/>
      <c r="E302" s="64"/>
      <c r="F302" s="64"/>
      <c r="G302" s="65"/>
      <c r="H302" s="65"/>
      <c r="I302" s="65"/>
      <c r="J302" s="65"/>
      <c r="K302" s="65"/>
      <c r="L302" s="65"/>
      <c r="M302" s="65"/>
      <c r="N302" s="63"/>
    </row>
    <row r="303" spans="1:14" ht="12.75">
      <c r="A303" s="68"/>
      <c r="B303" s="74" t="s">
        <v>2780</v>
      </c>
      <c r="C303" s="63"/>
      <c r="D303" s="64" t="s">
        <v>2806</v>
      </c>
      <c r="E303" s="64" t="s">
        <v>2807</v>
      </c>
      <c r="F303" s="64" t="s">
        <v>1673</v>
      </c>
      <c r="G303" s="65" t="s">
        <v>1674</v>
      </c>
      <c r="H303" s="65" t="s">
        <v>1751</v>
      </c>
      <c r="I303" s="65" t="s">
        <v>1722</v>
      </c>
      <c r="J303" s="65" t="s">
        <v>1673</v>
      </c>
      <c r="K303" s="65" t="s">
        <v>1928</v>
      </c>
      <c r="L303" s="65" t="s">
        <v>2808</v>
      </c>
      <c r="M303" s="65" t="s">
        <v>2809</v>
      </c>
      <c r="N303" s="63"/>
    </row>
    <row r="304" spans="1:14" ht="12.75">
      <c r="A304" s="68"/>
      <c r="B304" s="74" t="s">
        <v>2810</v>
      </c>
      <c r="C304" s="63"/>
      <c r="D304" s="64" t="s">
        <v>2811</v>
      </c>
      <c r="E304" s="64" t="s">
        <v>2812</v>
      </c>
      <c r="F304" s="64" t="s">
        <v>1682</v>
      </c>
      <c r="G304" s="65" t="s">
        <v>2074</v>
      </c>
      <c r="H304" s="65" t="s">
        <v>2813</v>
      </c>
      <c r="I304" s="65" t="s">
        <v>2814</v>
      </c>
      <c r="J304" s="65" t="s">
        <v>1682</v>
      </c>
      <c r="K304" s="65" t="s">
        <v>2077</v>
      </c>
      <c r="L304" s="65" t="s">
        <v>2815</v>
      </c>
      <c r="M304" s="65" t="s">
        <v>2816</v>
      </c>
      <c r="N304" s="63"/>
    </row>
    <row r="305" spans="1:14" ht="12.75">
      <c r="A305" s="68"/>
      <c r="B305" s="74" t="s">
        <v>2810</v>
      </c>
      <c r="C305" s="63"/>
      <c r="D305" s="64" t="s">
        <v>2817</v>
      </c>
      <c r="E305" s="64" t="s">
        <v>2818</v>
      </c>
      <c r="F305" s="64" t="s">
        <v>1673</v>
      </c>
      <c r="G305" s="65" t="s">
        <v>1674</v>
      </c>
      <c r="H305" s="65" t="s">
        <v>2819</v>
      </c>
      <c r="I305" s="65" t="s">
        <v>2820</v>
      </c>
      <c r="J305" s="65" t="s">
        <v>1673</v>
      </c>
      <c r="K305" s="65" t="s">
        <v>1928</v>
      </c>
      <c r="L305" s="65" t="s">
        <v>2821</v>
      </c>
      <c r="M305" s="65"/>
      <c r="N305" s="63"/>
    </row>
    <row r="306" spans="1:14" ht="12.75">
      <c r="A306" s="68"/>
      <c r="B306" s="74" t="s">
        <v>2810</v>
      </c>
      <c r="C306" s="63"/>
      <c r="D306" s="64" t="s">
        <v>2822</v>
      </c>
      <c r="E306" s="64" t="s">
        <v>2823</v>
      </c>
      <c r="F306" s="64" t="s">
        <v>1818</v>
      </c>
      <c r="G306" s="65" t="s">
        <v>2398</v>
      </c>
      <c r="H306" s="65">
        <v>9092103</v>
      </c>
      <c r="I306" s="65" t="s">
        <v>2824</v>
      </c>
      <c r="J306" s="65" t="s">
        <v>1682</v>
      </c>
      <c r="K306" s="65" t="s">
        <v>1837</v>
      </c>
      <c r="L306" s="65">
        <v>30469837</v>
      </c>
      <c r="M306" s="65"/>
      <c r="N306" s="63"/>
    </row>
    <row r="307" spans="1:14" ht="12.75">
      <c r="A307" s="68"/>
      <c r="B307" s="74" t="s">
        <v>2810</v>
      </c>
      <c r="C307" s="63"/>
      <c r="D307" s="64" t="s">
        <v>2825</v>
      </c>
      <c r="E307" s="64" t="s">
        <v>2826</v>
      </c>
      <c r="F307" s="64" t="s">
        <v>1663</v>
      </c>
      <c r="G307" s="65" t="s">
        <v>1664</v>
      </c>
      <c r="H307" s="65" t="s">
        <v>2827</v>
      </c>
      <c r="I307" s="65" t="s">
        <v>2828</v>
      </c>
      <c r="J307" s="65" t="s">
        <v>1667</v>
      </c>
      <c r="K307" s="65" t="s">
        <v>1668</v>
      </c>
      <c r="L307" s="65" t="s">
        <v>2829</v>
      </c>
      <c r="M307" s="65" t="s">
        <v>2830</v>
      </c>
      <c r="N307" s="63"/>
    </row>
    <row r="308" spans="1:14" ht="12.75">
      <c r="A308" s="68"/>
      <c r="B308" s="76" t="s">
        <v>2831</v>
      </c>
      <c r="C308" s="63"/>
      <c r="D308" s="64"/>
      <c r="E308" s="66"/>
      <c r="F308" s="66"/>
      <c r="G308" s="65"/>
      <c r="H308" s="67"/>
      <c r="I308" s="67"/>
      <c r="J308" s="67"/>
      <c r="K308" s="67"/>
      <c r="L308" s="65"/>
      <c r="M308" s="65"/>
      <c r="N308" s="63"/>
    </row>
    <row r="309" spans="1:14" ht="12.75">
      <c r="A309" s="68"/>
      <c r="B309" s="76" t="s">
        <v>2831</v>
      </c>
      <c r="C309" s="63"/>
      <c r="D309" s="64"/>
      <c r="E309" s="66"/>
      <c r="F309" s="66"/>
      <c r="G309" s="65"/>
      <c r="H309" s="67"/>
      <c r="I309" s="67"/>
      <c r="J309" s="67"/>
      <c r="K309" s="67"/>
      <c r="L309" s="65"/>
      <c r="M309" s="65"/>
      <c r="N309" s="63"/>
    </row>
    <row r="310" spans="1:14" ht="12.75">
      <c r="A310" s="68"/>
      <c r="B310" s="76" t="s">
        <v>2831</v>
      </c>
      <c r="C310" s="63"/>
      <c r="D310" s="64"/>
      <c r="E310" s="66"/>
      <c r="F310" s="66"/>
      <c r="G310" s="65"/>
      <c r="H310" s="67"/>
      <c r="I310" s="67"/>
      <c r="J310" s="67"/>
      <c r="K310" s="67"/>
      <c r="L310" s="65"/>
      <c r="M310" s="65"/>
      <c r="N310" s="63"/>
    </row>
    <row r="311" spans="1:14" ht="12.75">
      <c r="A311" s="68"/>
      <c r="B311" s="74" t="s">
        <v>2832</v>
      </c>
      <c r="C311" s="63"/>
      <c r="D311" s="64" t="s">
        <v>2833</v>
      </c>
      <c r="E311" s="64" t="s">
        <v>2834</v>
      </c>
      <c r="F311" s="64" t="s">
        <v>1673</v>
      </c>
      <c r="G311" s="65" t="s">
        <v>1674</v>
      </c>
      <c r="H311" s="65" t="s">
        <v>2835</v>
      </c>
      <c r="I311" s="65" t="s">
        <v>2836</v>
      </c>
      <c r="J311" s="65" t="s">
        <v>1673</v>
      </c>
      <c r="K311" s="65" t="s">
        <v>1928</v>
      </c>
      <c r="L311" s="65" t="s">
        <v>2837</v>
      </c>
      <c r="M311" s="65" t="s">
        <v>2838</v>
      </c>
      <c r="N311" s="63"/>
    </row>
    <row r="312" spans="1:14" ht="12.75">
      <c r="A312" s="68"/>
      <c r="B312" s="74" t="s">
        <v>2832</v>
      </c>
      <c r="C312" s="63"/>
      <c r="D312" s="64" t="s">
        <v>2839</v>
      </c>
      <c r="E312" s="64" t="s">
        <v>2840</v>
      </c>
      <c r="F312" s="64" t="s">
        <v>1673</v>
      </c>
      <c r="G312" s="65" t="s">
        <v>1674</v>
      </c>
      <c r="H312" s="65" t="s">
        <v>2841</v>
      </c>
      <c r="I312" s="65" t="s">
        <v>2842</v>
      </c>
      <c r="J312" s="65" t="s">
        <v>1673</v>
      </c>
      <c r="K312" s="65" t="s">
        <v>1928</v>
      </c>
      <c r="L312" s="65" t="s">
        <v>2843</v>
      </c>
      <c r="M312" s="65" t="s">
        <v>2844</v>
      </c>
      <c r="N312" s="63"/>
    </row>
    <row r="313" spans="1:14" ht="12.75">
      <c r="A313" s="68"/>
      <c r="B313" s="74" t="s">
        <v>2832</v>
      </c>
      <c r="C313" s="63"/>
      <c r="D313" s="64" t="s">
        <v>2845</v>
      </c>
      <c r="E313" s="64" t="s">
        <v>2846</v>
      </c>
      <c r="F313" s="64" t="s">
        <v>1818</v>
      </c>
      <c r="G313" s="65" t="s">
        <v>2398</v>
      </c>
      <c r="H313" s="65" t="s">
        <v>2847</v>
      </c>
      <c r="I313" s="65" t="s">
        <v>2848</v>
      </c>
      <c r="J313" s="65" t="s">
        <v>1682</v>
      </c>
      <c r="K313" s="65" t="s">
        <v>2849</v>
      </c>
      <c r="L313" s="65">
        <v>803312</v>
      </c>
      <c r="M313" s="65" t="s">
        <v>1687</v>
      </c>
      <c r="N313" s="63"/>
    </row>
    <row r="314" spans="1:14" ht="12.75">
      <c r="A314" s="68"/>
      <c r="B314" s="74" t="s">
        <v>2832</v>
      </c>
      <c r="C314" s="63"/>
      <c r="D314" s="64" t="s">
        <v>2850</v>
      </c>
      <c r="E314" s="64" t="s">
        <v>2851</v>
      </c>
      <c r="F314" s="64" t="s">
        <v>1663</v>
      </c>
      <c r="G314" s="65" t="s">
        <v>1664</v>
      </c>
      <c r="H314" s="65" t="s">
        <v>2852</v>
      </c>
      <c r="I314" s="65" t="s">
        <v>2853</v>
      </c>
      <c r="J314" s="65" t="s">
        <v>2854</v>
      </c>
      <c r="K314" s="65" t="s">
        <v>1668</v>
      </c>
      <c r="L314" s="65" t="s">
        <v>2855</v>
      </c>
      <c r="M314" s="65" t="s">
        <v>2856</v>
      </c>
      <c r="N314" s="63"/>
    </row>
    <row r="315" spans="1:14" ht="12.75">
      <c r="A315" s="68"/>
      <c r="B315" s="74" t="s">
        <v>2832</v>
      </c>
      <c r="C315" s="63"/>
      <c r="D315" s="64" t="s">
        <v>2857</v>
      </c>
      <c r="E315" s="64" t="s">
        <v>2858</v>
      </c>
      <c r="F315" s="64" t="s">
        <v>1673</v>
      </c>
      <c r="G315" s="65" t="s">
        <v>1674</v>
      </c>
      <c r="H315" s="65" t="s">
        <v>2859</v>
      </c>
      <c r="I315" s="65" t="s">
        <v>2860</v>
      </c>
      <c r="J315" s="65" t="s">
        <v>1673</v>
      </c>
      <c r="K315" s="65" t="s">
        <v>1928</v>
      </c>
      <c r="L315" s="65" t="s">
        <v>2861</v>
      </c>
      <c r="M315" s="65" t="s">
        <v>2862</v>
      </c>
      <c r="N315" s="63"/>
    </row>
    <row r="316" spans="1:14" ht="12.75">
      <c r="A316" s="68"/>
      <c r="B316" s="74" t="s">
        <v>2832</v>
      </c>
      <c r="C316" s="63"/>
      <c r="D316" s="64" t="s">
        <v>2863</v>
      </c>
      <c r="E316" s="64" t="s">
        <v>2864</v>
      </c>
      <c r="F316" s="64" t="s">
        <v>1818</v>
      </c>
      <c r="G316" s="65" t="s">
        <v>2398</v>
      </c>
      <c r="H316" s="65" t="s">
        <v>2865</v>
      </c>
      <c r="I316" s="65" t="s">
        <v>2866</v>
      </c>
      <c r="J316" s="65" t="s">
        <v>1682</v>
      </c>
      <c r="K316" s="65" t="s">
        <v>1837</v>
      </c>
      <c r="L316" s="65">
        <v>31124894</v>
      </c>
      <c r="M316" s="65" t="s">
        <v>1687</v>
      </c>
      <c r="N316" s="63"/>
    </row>
    <row r="317" spans="1:14" ht="12.75">
      <c r="A317" s="68"/>
      <c r="B317" s="76" t="s">
        <v>2867</v>
      </c>
      <c r="C317" s="63"/>
      <c r="D317" s="64"/>
      <c r="E317" s="64"/>
      <c r="F317" s="66"/>
      <c r="G317" s="67"/>
      <c r="H317" s="67"/>
      <c r="I317" s="67"/>
      <c r="J317" s="67"/>
      <c r="K317" s="67"/>
      <c r="L317" s="65"/>
      <c r="M317" s="65"/>
      <c r="N317" s="63"/>
    </row>
    <row r="318" spans="1:14" ht="12.75">
      <c r="A318" s="68"/>
      <c r="B318" s="74" t="s">
        <v>2868</v>
      </c>
      <c r="C318" s="63"/>
      <c r="D318" s="64" t="s">
        <v>2869</v>
      </c>
      <c r="E318" s="64" t="s">
        <v>2870</v>
      </c>
      <c r="F318" s="64" t="s">
        <v>1673</v>
      </c>
      <c r="G318" s="65" t="s">
        <v>1674</v>
      </c>
      <c r="H318" s="65" t="s">
        <v>2871</v>
      </c>
      <c r="I318" s="65" t="s">
        <v>2872</v>
      </c>
      <c r="J318" s="65" t="s">
        <v>1673</v>
      </c>
      <c r="K318" s="65" t="s">
        <v>1928</v>
      </c>
      <c r="L318" s="65" t="s">
        <v>2873</v>
      </c>
      <c r="M318" s="65" t="s">
        <v>2874</v>
      </c>
      <c r="N318" s="63"/>
    </row>
    <row r="319" spans="1:14" ht="12.75">
      <c r="A319" s="68"/>
      <c r="B319" s="74" t="s">
        <v>2868</v>
      </c>
      <c r="C319" s="63"/>
      <c r="D319" s="64" t="s">
        <v>2875</v>
      </c>
      <c r="E319" s="64" t="s">
        <v>2876</v>
      </c>
      <c r="F319" s="64" t="s">
        <v>1673</v>
      </c>
      <c r="G319" s="65" t="s">
        <v>1674</v>
      </c>
      <c r="H319" s="65" t="s">
        <v>2877</v>
      </c>
      <c r="I319" s="65" t="s">
        <v>2878</v>
      </c>
      <c r="J319" s="65" t="s">
        <v>1673</v>
      </c>
      <c r="K319" s="65" t="s">
        <v>1928</v>
      </c>
      <c r="L319" s="65" t="s">
        <v>2879</v>
      </c>
      <c r="M319" s="65" t="s">
        <v>2880</v>
      </c>
      <c r="N319" s="63"/>
    </row>
    <row r="320" spans="1:14" ht="12.75">
      <c r="A320" s="68"/>
      <c r="B320" s="74" t="s">
        <v>2868</v>
      </c>
      <c r="C320" s="63"/>
      <c r="D320" s="64" t="s">
        <v>2881</v>
      </c>
      <c r="E320" s="64" t="s">
        <v>2882</v>
      </c>
      <c r="F320" s="64" t="s">
        <v>1673</v>
      </c>
      <c r="G320" s="65" t="s">
        <v>1674</v>
      </c>
      <c r="H320" s="65" t="s">
        <v>2883</v>
      </c>
      <c r="I320" s="65" t="s">
        <v>2884</v>
      </c>
      <c r="J320" s="65" t="s">
        <v>1673</v>
      </c>
      <c r="K320" s="65" t="s">
        <v>1928</v>
      </c>
      <c r="L320" s="65" t="s">
        <v>2885</v>
      </c>
      <c r="M320" s="65" t="s">
        <v>2886</v>
      </c>
      <c r="N320" s="63"/>
    </row>
    <row r="321" spans="1:14" ht="12.75">
      <c r="A321" s="68"/>
      <c r="B321" s="74" t="s">
        <v>2868</v>
      </c>
      <c r="C321" s="63"/>
      <c r="D321" s="64" t="s">
        <v>2887</v>
      </c>
      <c r="E321" s="64" t="s">
        <v>2888</v>
      </c>
      <c r="F321" s="64" t="s">
        <v>1663</v>
      </c>
      <c r="G321" s="65" t="s">
        <v>2040</v>
      </c>
      <c r="H321" s="65" t="s">
        <v>2889</v>
      </c>
      <c r="I321" s="65" t="s">
        <v>2890</v>
      </c>
      <c r="J321" s="65" t="s">
        <v>1667</v>
      </c>
      <c r="K321" s="65" t="s">
        <v>1668</v>
      </c>
      <c r="L321" s="65" t="s">
        <v>2891</v>
      </c>
      <c r="M321" s="65" t="s">
        <v>2892</v>
      </c>
      <c r="N321" s="63"/>
    </row>
    <row r="322" spans="1:14" ht="12.75">
      <c r="A322" s="68"/>
      <c r="B322" s="74" t="s">
        <v>2868</v>
      </c>
      <c r="C322" s="63"/>
      <c r="D322" s="64" t="s">
        <v>2037</v>
      </c>
      <c r="E322" s="64"/>
      <c r="F322" s="64"/>
      <c r="G322" s="65"/>
      <c r="H322" s="65"/>
      <c r="I322" s="65"/>
      <c r="J322" s="65"/>
      <c r="K322" s="65"/>
      <c r="L322" s="65"/>
      <c r="M322" s="65"/>
      <c r="N322" s="63"/>
    </row>
    <row r="323" spans="1:14" ht="12.75">
      <c r="A323" s="68"/>
      <c r="B323" s="76" t="s">
        <v>2893</v>
      </c>
      <c r="C323" s="63"/>
      <c r="D323" s="64"/>
      <c r="E323" s="66"/>
      <c r="F323" s="66"/>
      <c r="G323" s="67"/>
      <c r="H323" s="67"/>
      <c r="I323" s="67"/>
      <c r="J323" s="67"/>
      <c r="K323" s="67"/>
      <c r="L323" s="65"/>
      <c r="M323" s="65"/>
      <c r="N323" s="63"/>
    </row>
    <row r="324" spans="1:14" ht="12.75">
      <c r="A324" s="68"/>
      <c r="B324" s="76" t="s">
        <v>2893</v>
      </c>
      <c r="C324" s="63"/>
      <c r="D324" s="64"/>
      <c r="E324" s="66"/>
      <c r="F324" s="66"/>
      <c r="G324" s="67"/>
      <c r="H324" s="67"/>
      <c r="I324" s="67"/>
      <c r="J324" s="67"/>
      <c r="K324" s="67"/>
      <c r="L324" s="65"/>
      <c r="M324" s="65"/>
      <c r="N324" s="63"/>
    </row>
    <row r="325" spans="1:14" ht="12.75">
      <c r="A325" s="68"/>
      <c r="B325" s="76" t="s">
        <v>2893</v>
      </c>
      <c r="C325" s="63"/>
      <c r="D325" s="64"/>
      <c r="E325" s="66"/>
      <c r="F325" s="66"/>
      <c r="G325" s="67"/>
      <c r="H325" s="67"/>
      <c r="I325" s="67"/>
      <c r="J325" s="67"/>
      <c r="K325" s="67"/>
      <c r="L325" s="65"/>
      <c r="M325" s="65"/>
      <c r="N325" s="63"/>
    </row>
    <row r="326" spans="1:14" ht="12.75">
      <c r="A326" s="68"/>
      <c r="B326" s="74" t="s">
        <v>2894</v>
      </c>
      <c r="C326" s="63"/>
      <c r="D326" s="64" t="s">
        <v>2895</v>
      </c>
      <c r="E326" s="64" t="s">
        <v>2896</v>
      </c>
      <c r="F326" s="64" t="s">
        <v>1673</v>
      </c>
      <c r="G326" s="65" t="s">
        <v>1674</v>
      </c>
      <c r="H326" s="65" t="s">
        <v>2897</v>
      </c>
      <c r="I326" s="65" t="s">
        <v>2898</v>
      </c>
      <c r="J326" s="65" t="s">
        <v>1673</v>
      </c>
      <c r="K326" s="65" t="s">
        <v>1928</v>
      </c>
      <c r="L326" s="65" t="s">
        <v>2899</v>
      </c>
      <c r="M326" s="65" t="s">
        <v>2900</v>
      </c>
      <c r="N326" s="63"/>
    </row>
    <row r="327" spans="1:14" ht="12.75">
      <c r="A327" s="68"/>
      <c r="B327" s="74" t="s">
        <v>2894</v>
      </c>
      <c r="C327" s="63"/>
      <c r="D327" s="64" t="s">
        <v>2901</v>
      </c>
      <c r="E327" s="64" t="s">
        <v>2902</v>
      </c>
      <c r="F327" s="64" t="s">
        <v>1673</v>
      </c>
      <c r="G327" s="65" t="s">
        <v>1674</v>
      </c>
      <c r="H327" s="65" t="s">
        <v>2903</v>
      </c>
      <c r="I327" s="65" t="s">
        <v>2904</v>
      </c>
      <c r="J327" s="65" t="s">
        <v>1673</v>
      </c>
      <c r="K327" s="65" t="s">
        <v>1928</v>
      </c>
      <c r="L327" s="65" t="s">
        <v>2905</v>
      </c>
      <c r="M327" s="65" t="s">
        <v>2906</v>
      </c>
      <c r="N327" s="63"/>
    </row>
    <row r="328" spans="1:14" ht="12.75">
      <c r="A328" s="68"/>
      <c r="B328" s="74" t="s">
        <v>2894</v>
      </c>
      <c r="C328" s="63"/>
      <c r="D328" s="64" t="s">
        <v>2907</v>
      </c>
      <c r="E328" s="64" t="s">
        <v>2908</v>
      </c>
      <c r="F328" s="64" t="s">
        <v>1663</v>
      </c>
      <c r="G328" s="65" t="s">
        <v>1664</v>
      </c>
      <c r="H328" s="65" t="s">
        <v>2909</v>
      </c>
      <c r="I328" s="65" t="s">
        <v>2910</v>
      </c>
      <c r="J328" s="65" t="s">
        <v>1667</v>
      </c>
      <c r="K328" s="65" t="s">
        <v>1668</v>
      </c>
      <c r="L328" s="65" t="s">
        <v>2911</v>
      </c>
      <c r="M328" s="65" t="s">
        <v>2912</v>
      </c>
      <c r="N328" s="63"/>
    </row>
    <row r="329" spans="1:14" ht="12.75">
      <c r="A329" s="68"/>
      <c r="B329" s="74" t="s">
        <v>2894</v>
      </c>
      <c r="C329" s="63"/>
      <c r="D329" s="64" t="s">
        <v>2913</v>
      </c>
      <c r="E329" s="64" t="s">
        <v>2914</v>
      </c>
      <c r="F329" s="64" t="s">
        <v>1673</v>
      </c>
      <c r="G329" s="65" t="s">
        <v>1674</v>
      </c>
      <c r="H329" s="65" t="s">
        <v>2915</v>
      </c>
      <c r="I329" s="65" t="s">
        <v>2916</v>
      </c>
      <c r="J329" s="65" t="s">
        <v>1673</v>
      </c>
      <c r="K329" s="65" t="s">
        <v>1928</v>
      </c>
      <c r="L329" s="65" t="s">
        <v>2917</v>
      </c>
      <c r="M329" s="65" t="s">
        <v>2918</v>
      </c>
      <c r="N329" s="63"/>
    </row>
    <row r="330" spans="1:14" ht="12.75">
      <c r="A330" s="68"/>
      <c r="B330" s="76" t="s">
        <v>2919</v>
      </c>
      <c r="C330" s="63"/>
      <c r="D330" s="64"/>
      <c r="E330" s="64"/>
      <c r="F330" s="64"/>
      <c r="G330" s="65"/>
      <c r="H330" s="65"/>
      <c r="I330" s="65"/>
      <c r="J330" s="65"/>
      <c r="K330" s="65"/>
      <c r="L330" s="65"/>
      <c r="M330" s="65"/>
      <c r="N330" s="63"/>
    </row>
    <row r="331" spans="1:14" ht="12.75">
      <c r="A331" s="68"/>
      <c r="B331" s="76" t="s">
        <v>2919</v>
      </c>
      <c r="C331" s="63"/>
      <c r="D331" s="64"/>
      <c r="E331" s="64"/>
      <c r="F331" s="64"/>
      <c r="G331" s="65"/>
      <c r="H331" s="65"/>
      <c r="I331" s="65"/>
      <c r="J331" s="65"/>
      <c r="K331" s="65"/>
      <c r="L331" s="65"/>
      <c r="M331" s="65"/>
      <c r="N331" s="63"/>
    </row>
    <row r="332" spans="1:14" ht="12.75">
      <c r="A332" s="68"/>
      <c r="B332" s="76" t="s">
        <v>2919</v>
      </c>
      <c r="C332" s="63"/>
      <c r="D332" s="64"/>
      <c r="E332" s="64"/>
      <c r="F332" s="64"/>
      <c r="G332" s="65"/>
      <c r="H332" s="65"/>
      <c r="I332" s="65"/>
      <c r="J332" s="65"/>
      <c r="K332" s="65"/>
      <c r="L332" s="65"/>
      <c r="M332" s="65"/>
      <c r="N332" s="63"/>
    </row>
    <row r="333" spans="1:14" ht="12.75">
      <c r="A333" s="68"/>
      <c r="B333" s="74" t="s">
        <v>2920</v>
      </c>
      <c r="C333" s="63"/>
      <c r="D333" s="64" t="s">
        <v>2921</v>
      </c>
      <c r="E333" s="64" t="s">
        <v>2922</v>
      </c>
      <c r="F333" s="64" t="s">
        <v>1663</v>
      </c>
      <c r="G333" s="67"/>
      <c r="H333" s="67"/>
      <c r="I333" s="67"/>
      <c r="J333" s="67"/>
      <c r="K333" s="67"/>
      <c r="L333" s="65"/>
      <c r="M333" s="65"/>
      <c r="N333" s="63"/>
    </row>
    <row r="334" spans="1:14" ht="12.75">
      <c r="A334" s="68"/>
      <c r="B334" s="74" t="s">
        <v>2920</v>
      </c>
      <c r="C334" s="63"/>
      <c r="D334" s="64" t="s">
        <v>2923</v>
      </c>
      <c r="E334" s="64" t="s">
        <v>2924</v>
      </c>
      <c r="F334" s="66"/>
      <c r="G334" s="67"/>
      <c r="H334" s="67"/>
      <c r="I334" s="67"/>
      <c r="J334" s="67"/>
      <c r="K334" s="67"/>
      <c r="L334" s="65"/>
      <c r="M334" s="65"/>
      <c r="N334" s="63"/>
    </row>
    <row r="335" spans="1:14" ht="12.75">
      <c r="A335" s="68"/>
      <c r="B335" s="74" t="s">
        <v>2920</v>
      </c>
      <c r="C335" s="63"/>
      <c r="D335" s="64" t="s">
        <v>2925</v>
      </c>
      <c r="E335" s="64" t="s">
        <v>2926</v>
      </c>
      <c r="F335" s="66"/>
      <c r="G335" s="67"/>
      <c r="H335" s="67"/>
      <c r="I335" s="67"/>
      <c r="J335" s="67"/>
      <c r="K335" s="67"/>
      <c r="L335" s="65"/>
      <c r="M335" s="65"/>
      <c r="N335" s="63"/>
    </row>
    <row r="336" spans="1:14" ht="12.75">
      <c r="A336" s="68"/>
      <c r="B336" s="74" t="s">
        <v>2920</v>
      </c>
      <c r="C336" s="63"/>
      <c r="D336" s="64" t="s">
        <v>2927</v>
      </c>
      <c r="E336" s="64" t="s">
        <v>2928</v>
      </c>
      <c r="F336" s="66"/>
      <c r="G336" s="67"/>
      <c r="H336" s="67"/>
      <c r="I336" s="67"/>
      <c r="J336" s="67"/>
      <c r="K336" s="67"/>
      <c r="L336" s="65"/>
      <c r="M336" s="65"/>
      <c r="N336" s="63"/>
    </row>
    <row r="337" spans="1:14" ht="12.75">
      <c r="A337" s="68"/>
      <c r="B337" s="74" t="s">
        <v>2920</v>
      </c>
      <c r="C337" s="63"/>
      <c r="D337" s="64" t="s">
        <v>2929</v>
      </c>
      <c r="E337" s="64" t="s">
        <v>2930</v>
      </c>
      <c r="F337" s="66"/>
      <c r="G337" s="67"/>
      <c r="H337" s="67"/>
      <c r="I337" s="67"/>
      <c r="J337" s="67"/>
      <c r="K337" s="67"/>
      <c r="L337" s="65"/>
      <c r="M337" s="65"/>
      <c r="N337" s="63"/>
    </row>
    <row r="338" spans="1:14" ht="12.75">
      <c r="A338" s="68"/>
      <c r="B338" s="74" t="s">
        <v>2920</v>
      </c>
      <c r="C338" s="63"/>
      <c r="D338" s="64" t="s">
        <v>2931</v>
      </c>
      <c r="E338" s="64"/>
      <c r="F338" s="64"/>
      <c r="G338" s="65"/>
      <c r="H338" s="65"/>
      <c r="I338" s="65"/>
      <c r="J338" s="65"/>
      <c r="K338" s="65"/>
      <c r="L338" s="65"/>
      <c r="M338" s="65"/>
      <c r="N338" s="63"/>
    </row>
    <row r="339" spans="1:14" ht="12.75">
      <c r="A339" s="68"/>
      <c r="B339" s="74" t="s">
        <v>2920</v>
      </c>
      <c r="C339" s="63"/>
      <c r="D339" s="64" t="s">
        <v>2037</v>
      </c>
      <c r="E339" s="64"/>
      <c r="F339" s="64"/>
      <c r="G339" s="65"/>
      <c r="H339" s="65"/>
      <c r="I339" s="65"/>
      <c r="J339" s="65"/>
      <c r="K339" s="65"/>
      <c r="L339" s="65"/>
      <c r="M339" s="65"/>
      <c r="N339" s="63"/>
    </row>
    <row r="340" spans="1:14" ht="12.75">
      <c r="A340" s="68"/>
      <c r="B340" s="74" t="s">
        <v>2920</v>
      </c>
      <c r="C340" s="63"/>
      <c r="D340" s="64" t="s">
        <v>2037</v>
      </c>
      <c r="E340" s="64"/>
      <c r="F340" s="64"/>
      <c r="G340" s="65"/>
      <c r="H340" s="65"/>
      <c r="I340" s="65"/>
      <c r="J340" s="65"/>
      <c r="K340" s="65"/>
      <c r="L340" s="65"/>
      <c r="M340" s="65"/>
      <c r="N340" s="63"/>
    </row>
    <row r="341" spans="1:14" ht="12.75">
      <c r="A341" s="68"/>
      <c r="B341" s="74" t="s">
        <v>2920</v>
      </c>
      <c r="C341" s="63"/>
      <c r="D341" s="64" t="s">
        <v>2037</v>
      </c>
      <c r="E341" s="64"/>
      <c r="F341" s="64"/>
      <c r="G341" s="65"/>
      <c r="H341" s="65"/>
      <c r="I341" s="65"/>
      <c r="J341" s="65"/>
      <c r="K341" s="65"/>
      <c r="L341" s="65"/>
      <c r="M341" s="65"/>
      <c r="N341" s="63"/>
    </row>
    <row r="342" spans="1:14" ht="12.75">
      <c r="A342" s="68"/>
      <c r="B342" s="76" t="s">
        <v>2932</v>
      </c>
      <c r="C342" s="63"/>
      <c r="D342" s="64"/>
      <c r="E342" s="66"/>
      <c r="F342" s="66"/>
      <c r="G342" s="67"/>
      <c r="H342" s="67"/>
      <c r="I342" s="67"/>
      <c r="J342" s="67"/>
      <c r="K342" s="67"/>
      <c r="L342" s="65"/>
      <c r="M342" s="65"/>
      <c r="N342" s="63"/>
    </row>
    <row r="343" spans="1:14" ht="12.75">
      <c r="A343" s="68"/>
      <c r="B343" s="76" t="s">
        <v>2932</v>
      </c>
      <c r="C343" s="63"/>
      <c r="D343" s="64"/>
      <c r="E343" s="66"/>
      <c r="F343" s="66"/>
      <c r="G343" s="67"/>
      <c r="H343" s="67"/>
      <c r="I343" s="67"/>
      <c r="J343" s="67"/>
      <c r="K343" s="67"/>
      <c r="L343" s="65"/>
      <c r="M343" s="65"/>
      <c r="N343" s="63"/>
    </row>
    <row r="344" spans="1:14" ht="12.75">
      <c r="A344" s="68"/>
      <c r="B344" s="76" t="s">
        <v>2932</v>
      </c>
      <c r="C344" s="63"/>
      <c r="D344" s="64"/>
      <c r="E344" s="66"/>
      <c r="F344" s="66"/>
      <c r="G344" s="67"/>
      <c r="H344" s="67"/>
      <c r="I344" s="67"/>
      <c r="J344" s="67"/>
      <c r="K344" s="67"/>
      <c r="L344" s="65"/>
      <c r="M344" s="65"/>
      <c r="N344" s="63"/>
    </row>
    <row r="345" spans="1:14" ht="12.75">
      <c r="A345" s="68"/>
      <c r="B345" s="74" t="s">
        <v>2933</v>
      </c>
      <c r="C345" s="63"/>
      <c r="D345" s="64" t="s">
        <v>2934</v>
      </c>
      <c r="E345" s="64" t="s">
        <v>2935</v>
      </c>
      <c r="F345" s="64" t="s">
        <v>1818</v>
      </c>
      <c r="G345" s="65" t="s">
        <v>2398</v>
      </c>
      <c r="H345" s="65" t="s">
        <v>2936</v>
      </c>
      <c r="I345" s="65" t="s">
        <v>2937</v>
      </c>
      <c r="J345" s="65" t="s">
        <v>2130</v>
      </c>
      <c r="K345" s="65" t="s">
        <v>2938</v>
      </c>
      <c r="L345" s="65" t="s">
        <v>2939</v>
      </c>
      <c r="M345" s="65" t="s">
        <v>1687</v>
      </c>
      <c r="N345" s="63"/>
    </row>
    <row r="346" spans="1:14" ht="12.75">
      <c r="A346" s="68"/>
      <c r="B346" s="74" t="s">
        <v>2933</v>
      </c>
      <c r="C346" s="63"/>
      <c r="D346" s="64" t="s">
        <v>2940</v>
      </c>
      <c r="E346" s="64" t="s">
        <v>2941</v>
      </c>
      <c r="F346" s="64" t="s">
        <v>1682</v>
      </c>
      <c r="G346" s="65" t="s">
        <v>2074</v>
      </c>
      <c r="H346" s="65" t="s">
        <v>2942</v>
      </c>
      <c r="I346" s="65" t="s">
        <v>2942</v>
      </c>
      <c r="J346" s="65" t="s">
        <v>1682</v>
      </c>
      <c r="K346" s="65" t="s">
        <v>2077</v>
      </c>
      <c r="L346" s="65" t="s">
        <v>2943</v>
      </c>
      <c r="M346" s="65" t="s">
        <v>2944</v>
      </c>
      <c r="N346" s="63"/>
    </row>
    <row r="347" spans="1:14" ht="12.75">
      <c r="A347" s="68"/>
      <c r="B347" s="74" t="s">
        <v>2933</v>
      </c>
      <c r="C347" s="63"/>
      <c r="D347" s="64" t="s">
        <v>2945</v>
      </c>
      <c r="E347" s="64" t="s">
        <v>2946</v>
      </c>
      <c r="F347" s="64" t="s">
        <v>1673</v>
      </c>
      <c r="G347" s="65" t="s">
        <v>1674</v>
      </c>
      <c r="H347" s="65" t="s">
        <v>2947</v>
      </c>
      <c r="I347" s="65" t="s">
        <v>2948</v>
      </c>
      <c r="J347" s="65" t="s">
        <v>1673</v>
      </c>
      <c r="K347" s="65" t="s">
        <v>1928</v>
      </c>
      <c r="L347" s="65" t="s">
        <v>2949</v>
      </c>
      <c r="M347" s="65" t="s">
        <v>2950</v>
      </c>
      <c r="N347" s="63"/>
    </row>
    <row r="348" spans="1:14" ht="12.75">
      <c r="A348" s="68"/>
      <c r="B348" s="74" t="s">
        <v>2933</v>
      </c>
      <c r="C348" s="63"/>
      <c r="D348" s="64" t="s">
        <v>2951</v>
      </c>
      <c r="E348" s="64" t="s">
        <v>2952</v>
      </c>
      <c r="F348" s="64" t="s">
        <v>1673</v>
      </c>
      <c r="G348" s="65" t="s">
        <v>1674</v>
      </c>
      <c r="H348" s="65" t="s">
        <v>2953</v>
      </c>
      <c r="I348" s="65" t="s">
        <v>2954</v>
      </c>
      <c r="J348" s="65" t="s">
        <v>1673</v>
      </c>
      <c r="K348" s="65" t="s">
        <v>1928</v>
      </c>
      <c r="L348" s="65" t="s">
        <v>2955</v>
      </c>
      <c r="M348" s="65" t="s">
        <v>2956</v>
      </c>
      <c r="N348" s="63"/>
    </row>
    <row r="349" spans="1:14" ht="12.75">
      <c r="A349" s="68"/>
      <c r="B349" s="74" t="s">
        <v>2933</v>
      </c>
      <c r="C349" s="63"/>
      <c r="D349" s="64" t="s">
        <v>2957</v>
      </c>
      <c r="E349" s="64" t="s">
        <v>2958</v>
      </c>
      <c r="F349" s="64" t="s">
        <v>1663</v>
      </c>
      <c r="G349" s="65" t="s">
        <v>1664</v>
      </c>
      <c r="H349" s="65" t="s">
        <v>2959</v>
      </c>
      <c r="I349" s="65" t="s">
        <v>2960</v>
      </c>
      <c r="J349" s="65" t="s">
        <v>2854</v>
      </c>
      <c r="K349" s="65" t="s">
        <v>1668</v>
      </c>
      <c r="L349" s="65" t="s">
        <v>2961</v>
      </c>
      <c r="M349" s="65" t="s">
        <v>2962</v>
      </c>
      <c r="N349" s="63"/>
    </row>
    <row r="350" spans="1:14" ht="12.75">
      <c r="A350" s="68"/>
      <c r="B350" s="76" t="s">
        <v>2963</v>
      </c>
      <c r="C350" s="63"/>
      <c r="D350" s="64"/>
      <c r="E350" s="64"/>
      <c r="F350" s="66"/>
      <c r="G350" s="65"/>
      <c r="H350" s="67"/>
      <c r="I350" s="67"/>
      <c r="J350" s="67"/>
      <c r="K350" s="67"/>
      <c r="L350" s="65"/>
      <c r="M350" s="65"/>
      <c r="N350" s="63"/>
    </row>
    <row r="351" spans="1:14" ht="12.75">
      <c r="A351" s="68"/>
      <c r="B351" s="76" t="s">
        <v>2963</v>
      </c>
      <c r="C351" s="63"/>
      <c r="D351" s="64"/>
      <c r="E351" s="64"/>
      <c r="F351" s="66"/>
      <c r="G351" s="65"/>
      <c r="H351" s="67"/>
      <c r="I351" s="67"/>
      <c r="J351" s="67"/>
      <c r="K351" s="67"/>
      <c r="L351" s="65"/>
      <c r="M351" s="65"/>
      <c r="N351" s="63"/>
    </row>
    <row r="352" spans="1:14" ht="12.75">
      <c r="A352" s="68"/>
      <c r="B352" s="76" t="s">
        <v>2963</v>
      </c>
      <c r="C352" s="63"/>
      <c r="D352" s="64"/>
      <c r="E352" s="64"/>
      <c r="F352" s="66"/>
      <c r="G352" s="65"/>
      <c r="H352" s="67"/>
      <c r="I352" s="67"/>
      <c r="J352" s="67"/>
      <c r="K352" s="67"/>
      <c r="L352" s="65"/>
      <c r="M352" s="65"/>
      <c r="N352" s="63"/>
    </row>
    <row r="353" spans="1:14" ht="12.75">
      <c r="A353" s="68"/>
      <c r="B353" s="74" t="s">
        <v>2964</v>
      </c>
      <c r="C353" s="63"/>
      <c r="D353" s="64" t="s">
        <v>2965</v>
      </c>
      <c r="E353" s="66" t="s">
        <v>2966</v>
      </c>
      <c r="F353" s="66" t="s">
        <v>1673</v>
      </c>
      <c r="G353" s="67" t="s">
        <v>1674</v>
      </c>
      <c r="H353" s="67" t="s">
        <v>2967</v>
      </c>
      <c r="I353" s="67" t="s">
        <v>2968</v>
      </c>
      <c r="J353" s="67" t="s">
        <v>1673</v>
      </c>
      <c r="K353" s="67" t="s">
        <v>1928</v>
      </c>
      <c r="L353" s="65" t="s">
        <v>2969</v>
      </c>
      <c r="M353" s="65" t="s">
        <v>2970</v>
      </c>
      <c r="N353" s="63"/>
    </row>
    <row r="354" spans="1:14" ht="12.75">
      <c r="A354" s="68"/>
      <c r="B354" s="74" t="s">
        <v>2964</v>
      </c>
      <c r="C354" s="63"/>
      <c r="D354" s="64" t="s">
        <v>2971</v>
      </c>
      <c r="E354" s="66" t="s">
        <v>2972</v>
      </c>
      <c r="F354" s="66" t="s">
        <v>1818</v>
      </c>
      <c r="G354" s="67" t="s">
        <v>1819</v>
      </c>
      <c r="H354" s="67" t="s">
        <v>2973</v>
      </c>
      <c r="I354" s="67" t="s">
        <v>2974</v>
      </c>
      <c r="J354" s="67" t="s">
        <v>2130</v>
      </c>
      <c r="K354" s="65" t="s">
        <v>2131</v>
      </c>
      <c r="L354" s="65" t="s">
        <v>2975</v>
      </c>
      <c r="M354" s="65" t="s">
        <v>2974</v>
      </c>
      <c r="N354" s="63"/>
    </row>
    <row r="355" spans="1:14" ht="12.75">
      <c r="A355" s="68"/>
      <c r="B355" s="74" t="s">
        <v>2964</v>
      </c>
      <c r="C355" s="63"/>
      <c r="D355" s="64" t="s">
        <v>2976</v>
      </c>
      <c r="E355" s="66" t="s">
        <v>2977</v>
      </c>
      <c r="F355" s="66" t="s">
        <v>1673</v>
      </c>
      <c r="G355" s="67" t="s">
        <v>1674</v>
      </c>
      <c r="H355" s="67" t="s">
        <v>2978</v>
      </c>
      <c r="I355" s="67" t="s">
        <v>2979</v>
      </c>
      <c r="J355" s="67" t="s">
        <v>1673</v>
      </c>
      <c r="K355" s="67" t="s">
        <v>1928</v>
      </c>
      <c r="L355" s="65" t="s">
        <v>2980</v>
      </c>
      <c r="M355" s="65" t="s">
        <v>2981</v>
      </c>
      <c r="N355" s="63"/>
    </row>
    <row r="356" spans="1:14" ht="12.75">
      <c r="A356" s="68"/>
      <c r="B356" s="74" t="s">
        <v>2964</v>
      </c>
      <c r="C356" s="63"/>
      <c r="D356" s="64" t="s">
        <v>2982</v>
      </c>
      <c r="E356" s="66" t="s">
        <v>2983</v>
      </c>
      <c r="F356" s="66" t="s">
        <v>1673</v>
      </c>
      <c r="G356" s="67" t="s">
        <v>1674</v>
      </c>
      <c r="H356" s="67" t="s">
        <v>2984</v>
      </c>
      <c r="I356" s="67" t="s">
        <v>2985</v>
      </c>
      <c r="J356" s="67" t="s">
        <v>1673</v>
      </c>
      <c r="K356" s="67" t="s">
        <v>1928</v>
      </c>
      <c r="L356" s="65" t="s">
        <v>2986</v>
      </c>
      <c r="M356" s="65" t="s">
        <v>2987</v>
      </c>
      <c r="N356" s="63"/>
    </row>
    <row r="357" spans="1:14" ht="12.75">
      <c r="A357" s="68"/>
      <c r="B357" s="74" t="s">
        <v>2964</v>
      </c>
      <c r="C357" s="63"/>
      <c r="D357" s="64" t="s">
        <v>2988</v>
      </c>
      <c r="E357" s="66" t="s">
        <v>2989</v>
      </c>
      <c r="F357" s="66" t="s">
        <v>1673</v>
      </c>
      <c r="G357" s="67" t="s">
        <v>1674</v>
      </c>
      <c r="H357" s="67" t="s">
        <v>2990</v>
      </c>
      <c r="I357" s="67" t="s">
        <v>2991</v>
      </c>
      <c r="J357" s="67" t="s">
        <v>1673</v>
      </c>
      <c r="K357" s="67" t="s">
        <v>1928</v>
      </c>
      <c r="L357" s="65" t="s">
        <v>2992</v>
      </c>
      <c r="M357" s="65" t="s">
        <v>2993</v>
      </c>
      <c r="N357" s="63"/>
    </row>
    <row r="358" spans="1:14" ht="12.75">
      <c r="A358" s="68"/>
      <c r="B358" s="74" t="s">
        <v>2964</v>
      </c>
      <c r="C358" s="63"/>
      <c r="D358" s="64" t="s">
        <v>2994</v>
      </c>
      <c r="E358" s="66"/>
      <c r="F358" s="66" t="s">
        <v>1663</v>
      </c>
      <c r="G358" s="67" t="s">
        <v>2995</v>
      </c>
      <c r="H358" s="67" t="s">
        <v>2996</v>
      </c>
      <c r="I358" s="67" t="s">
        <v>2997</v>
      </c>
      <c r="J358" s="67" t="s">
        <v>1667</v>
      </c>
      <c r="K358" s="67" t="s">
        <v>2156</v>
      </c>
      <c r="L358" s="65" t="s">
        <v>2998</v>
      </c>
      <c r="M358" s="65" t="s">
        <v>2999</v>
      </c>
      <c r="N358" s="63"/>
    </row>
    <row r="359" spans="1:14" ht="12.75">
      <c r="A359" s="68"/>
      <c r="B359" s="74" t="s">
        <v>2964</v>
      </c>
      <c r="C359" s="63"/>
      <c r="D359" s="64" t="s">
        <v>3000</v>
      </c>
      <c r="E359" s="66" t="s">
        <v>3001</v>
      </c>
      <c r="F359" s="66" t="s">
        <v>1663</v>
      </c>
      <c r="G359" s="67" t="s">
        <v>1664</v>
      </c>
      <c r="H359" s="67" t="s">
        <v>3002</v>
      </c>
      <c r="I359" s="67" t="s">
        <v>3003</v>
      </c>
      <c r="J359" s="67" t="s">
        <v>2854</v>
      </c>
      <c r="K359" s="67" t="s">
        <v>1668</v>
      </c>
      <c r="L359" s="65" t="s">
        <v>3004</v>
      </c>
      <c r="M359" s="65" t="s">
        <v>3005</v>
      </c>
      <c r="N359" s="63"/>
    </row>
    <row r="360" spans="1:14" ht="12.75">
      <c r="A360" s="68"/>
      <c r="B360" s="74" t="s">
        <v>2964</v>
      </c>
      <c r="C360" s="63"/>
      <c r="D360" s="64" t="s">
        <v>3006</v>
      </c>
      <c r="E360" s="64" t="s">
        <v>3007</v>
      </c>
      <c r="F360" s="64" t="s">
        <v>1673</v>
      </c>
      <c r="G360" s="65" t="s">
        <v>1674</v>
      </c>
      <c r="H360" s="65" t="s">
        <v>3008</v>
      </c>
      <c r="I360" s="67" t="s">
        <v>3009</v>
      </c>
      <c r="J360" s="67" t="s">
        <v>1673</v>
      </c>
      <c r="K360" s="67" t="s">
        <v>1928</v>
      </c>
      <c r="L360" s="65" t="s">
        <v>3010</v>
      </c>
      <c r="M360" s="65" t="s">
        <v>3011</v>
      </c>
      <c r="N360" s="63"/>
    </row>
    <row r="361" spans="1:14" ht="12.75">
      <c r="A361" s="68"/>
      <c r="B361" s="74" t="s">
        <v>2964</v>
      </c>
      <c r="C361" s="63"/>
      <c r="D361" s="64" t="s">
        <v>3012</v>
      </c>
      <c r="E361" s="64" t="s">
        <v>3013</v>
      </c>
      <c r="F361" s="64" t="s">
        <v>3014</v>
      </c>
      <c r="G361" s="65" t="s">
        <v>1683</v>
      </c>
      <c r="H361" s="65" t="s">
        <v>3015</v>
      </c>
      <c r="I361" s="67"/>
      <c r="J361" s="65" t="s">
        <v>2304</v>
      </c>
      <c r="K361" s="65" t="s">
        <v>2131</v>
      </c>
      <c r="L361" s="65" t="s">
        <v>3016</v>
      </c>
      <c r="M361" s="65"/>
      <c r="N361" s="63"/>
    </row>
    <row r="362" spans="1:14" ht="12.75">
      <c r="A362" s="68"/>
      <c r="B362" s="74" t="s">
        <v>2964</v>
      </c>
      <c r="C362" s="63"/>
      <c r="D362" s="64" t="s">
        <v>3017</v>
      </c>
      <c r="E362" s="64" t="s">
        <v>3018</v>
      </c>
      <c r="F362" s="64" t="s">
        <v>3019</v>
      </c>
      <c r="G362" s="65" t="s">
        <v>1819</v>
      </c>
      <c r="H362" s="65" t="s">
        <v>3020</v>
      </c>
      <c r="I362" s="67"/>
      <c r="J362" s="65" t="s">
        <v>3014</v>
      </c>
      <c r="K362" s="65" t="s">
        <v>3021</v>
      </c>
      <c r="L362" s="65" t="s">
        <v>3022</v>
      </c>
      <c r="M362" s="65" t="s">
        <v>3023</v>
      </c>
      <c r="N362" s="63"/>
    </row>
    <row r="363" spans="1:14" ht="12.75">
      <c r="A363" s="68"/>
      <c r="B363" s="76" t="s">
        <v>3024</v>
      </c>
      <c r="C363" s="63"/>
      <c r="D363" s="64"/>
      <c r="E363" s="66"/>
      <c r="F363" s="66"/>
      <c r="G363" s="67"/>
      <c r="H363" s="67"/>
      <c r="I363" s="67"/>
      <c r="J363" s="67"/>
      <c r="K363" s="67"/>
      <c r="L363" s="65"/>
      <c r="M363" s="65"/>
      <c r="N363" s="63"/>
    </row>
    <row r="364" spans="1:14" ht="12.75">
      <c r="A364" s="68"/>
      <c r="B364" s="76" t="s">
        <v>3024</v>
      </c>
      <c r="C364" s="63"/>
      <c r="D364" s="64"/>
      <c r="E364" s="66"/>
      <c r="F364" s="66"/>
      <c r="G364" s="67"/>
      <c r="H364" s="67"/>
      <c r="I364" s="67"/>
      <c r="J364" s="67"/>
      <c r="K364" s="67"/>
      <c r="L364" s="65"/>
      <c r="M364" s="65"/>
      <c r="N364" s="63"/>
    </row>
    <row r="365" spans="1:14" ht="12.75">
      <c r="A365" s="68"/>
      <c r="B365" s="76" t="s">
        <v>3024</v>
      </c>
      <c r="C365" s="63"/>
      <c r="D365" s="64"/>
      <c r="E365" s="66"/>
      <c r="F365" s="66"/>
      <c r="G365" s="67"/>
      <c r="H365" s="67"/>
      <c r="I365" s="67"/>
      <c r="J365" s="67"/>
      <c r="K365" s="67"/>
      <c r="L365" s="65"/>
      <c r="M365" s="65"/>
      <c r="N365" s="63"/>
    </row>
    <row r="366" spans="1:14" ht="12.75">
      <c r="A366" s="68"/>
      <c r="B366" s="76" t="s">
        <v>3024</v>
      </c>
      <c r="C366" s="63"/>
      <c r="D366" s="64"/>
      <c r="E366" s="66"/>
      <c r="F366" s="66"/>
      <c r="G366" s="67"/>
      <c r="H366" s="67"/>
      <c r="I366" s="67"/>
      <c r="J366" s="67"/>
      <c r="K366" s="67"/>
      <c r="L366" s="65"/>
      <c r="M366" s="65"/>
      <c r="N366" s="63"/>
    </row>
    <row r="367" spans="1:14" ht="12.75">
      <c r="A367" s="68"/>
      <c r="B367" s="74" t="s">
        <v>3025</v>
      </c>
      <c r="C367" s="63"/>
      <c r="D367" s="64" t="s">
        <v>3026</v>
      </c>
      <c r="E367" s="64" t="s">
        <v>3027</v>
      </c>
      <c r="F367" s="64" t="s">
        <v>1663</v>
      </c>
      <c r="G367" s="65" t="s">
        <v>1664</v>
      </c>
      <c r="H367" s="65" t="s">
        <v>3028</v>
      </c>
      <c r="I367" s="65" t="s">
        <v>3029</v>
      </c>
      <c r="J367" s="65" t="s">
        <v>1667</v>
      </c>
      <c r="K367" s="65" t="s">
        <v>3030</v>
      </c>
      <c r="L367" s="65" t="s">
        <v>2010</v>
      </c>
      <c r="M367" s="65" t="s">
        <v>3031</v>
      </c>
      <c r="N367" s="63"/>
    </row>
    <row r="368" spans="1:14" ht="12.75">
      <c r="A368" s="68"/>
      <c r="B368" s="74" t="s">
        <v>3025</v>
      </c>
      <c r="C368" s="63"/>
      <c r="D368" s="64" t="s">
        <v>3032</v>
      </c>
      <c r="E368" s="64" t="s">
        <v>3033</v>
      </c>
      <c r="F368" s="64" t="s">
        <v>1673</v>
      </c>
      <c r="G368" s="65" t="s">
        <v>1674</v>
      </c>
      <c r="H368" s="65" t="s">
        <v>3034</v>
      </c>
      <c r="I368" s="65" t="s">
        <v>3035</v>
      </c>
      <c r="J368" s="65" t="s">
        <v>1673</v>
      </c>
      <c r="K368" s="65" t="s">
        <v>1928</v>
      </c>
      <c r="L368" s="65" t="s">
        <v>3036</v>
      </c>
      <c r="M368" s="65" t="s">
        <v>3037</v>
      </c>
      <c r="N368" s="63"/>
    </row>
    <row r="369" spans="1:14" ht="12.75">
      <c r="A369" s="68"/>
      <c r="B369" s="74" t="s">
        <v>3025</v>
      </c>
      <c r="C369" s="63"/>
      <c r="D369" s="64" t="s">
        <v>3038</v>
      </c>
      <c r="E369" s="64" t="s">
        <v>3039</v>
      </c>
      <c r="F369" s="64" t="s">
        <v>1673</v>
      </c>
      <c r="G369" s="65" t="s">
        <v>1674</v>
      </c>
      <c r="H369" s="65" t="s">
        <v>3040</v>
      </c>
      <c r="I369" s="65" t="s">
        <v>3041</v>
      </c>
      <c r="J369" s="65" t="s">
        <v>1673</v>
      </c>
      <c r="K369" s="65" t="s">
        <v>1928</v>
      </c>
      <c r="L369" s="65" t="s">
        <v>3042</v>
      </c>
      <c r="M369" s="65" t="s">
        <v>3043</v>
      </c>
      <c r="N369" s="63"/>
    </row>
    <row r="370" spans="1:14" ht="12.75">
      <c r="A370" s="68"/>
      <c r="B370" s="74" t="s">
        <v>3025</v>
      </c>
      <c r="C370" s="63"/>
      <c r="D370" s="64" t="s">
        <v>3044</v>
      </c>
      <c r="E370" s="64" t="s">
        <v>3045</v>
      </c>
      <c r="F370" s="64" t="s">
        <v>1673</v>
      </c>
      <c r="G370" s="65" t="s">
        <v>1674</v>
      </c>
      <c r="H370" s="65" t="s">
        <v>3046</v>
      </c>
      <c r="I370" s="65" t="s">
        <v>3047</v>
      </c>
      <c r="J370" s="65" t="s">
        <v>1673</v>
      </c>
      <c r="K370" s="65" t="s">
        <v>1928</v>
      </c>
      <c r="L370" s="65" t="s">
        <v>3048</v>
      </c>
      <c r="M370" s="65" t="s">
        <v>3049</v>
      </c>
      <c r="N370" s="63"/>
    </row>
    <row r="371" spans="1:14" ht="12.75">
      <c r="A371" s="68"/>
      <c r="B371" s="76" t="s">
        <v>3050</v>
      </c>
      <c r="C371" s="63"/>
      <c r="D371" s="64"/>
      <c r="E371" s="64"/>
      <c r="F371" s="64"/>
      <c r="G371" s="65"/>
      <c r="H371" s="65"/>
      <c r="I371" s="65"/>
      <c r="J371" s="65"/>
      <c r="K371" s="65"/>
      <c r="L371" s="65"/>
      <c r="M371" s="65"/>
      <c r="N371" s="63"/>
    </row>
    <row r="372" spans="1:14" ht="12.75">
      <c r="A372" s="68"/>
      <c r="B372" s="76" t="s">
        <v>3050</v>
      </c>
      <c r="C372" s="63"/>
      <c r="D372" s="64"/>
      <c r="E372" s="64"/>
      <c r="F372" s="64"/>
      <c r="G372" s="65"/>
      <c r="H372" s="65"/>
      <c r="I372" s="65"/>
      <c r="J372" s="65"/>
      <c r="K372" s="65"/>
      <c r="L372" s="65"/>
      <c r="M372" s="65"/>
      <c r="N372" s="63"/>
    </row>
    <row r="373" spans="1:14" ht="12.75">
      <c r="A373" s="68"/>
      <c r="B373" s="76" t="s">
        <v>3050</v>
      </c>
      <c r="C373" s="63"/>
      <c r="D373" s="64"/>
      <c r="E373" s="64"/>
      <c r="F373" s="64"/>
      <c r="G373" s="65"/>
      <c r="H373" s="65"/>
      <c r="I373" s="65"/>
      <c r="J373" s="65"/>
      <c r="K373" s="65"/>
      <c r="L373" s="65"/>
      <c r="M373" s="65"/>
      <c r="N373" s="63"/>
    </row>
    <row r="374" spans="1:14" ht="12.75">
      <c r="A374" s="68"/>
      <c r="B374" s="74" t="s">
        <v>3051</v>
      </c>
      <c r="C374" s="63"/>
      <c r="D374" s="64" t="s">
        <v>3052</v>
      </c>
      <c r="E374" s="66" t="s">
        <v>3053</v>
      </c>
      <c r="F374" s="66" t="s">
        <v>1673</v>
      </c>
      <c r="G374" s="67" t="s">
        <v>1674</v>
      </c>
      <c r="H374" s="67" t="s">
        <v>3054</v>
      </c>
      <c r="I374" s="67" t="s">
        <v>3055</v>
      </c>
      <c r="J374" s="65" t="s">
        <v>1673</v>
      </c>
      <c r="K374" s="67" t="s">
        <v>1928</v>
      </c>
      <c r="L374" s="65" t="s">
        <v>3056</v>
      </c>
      <c r="M374" s="65" t="s">
        <v>3057</v>
      </c>
      <c r="N374" s="63"/>
    </row>
    <row r="375" spans="1:14" ht="12.75">
      <c r="A375" s="68"/>
      <c r="B375" s="74" t="s">
        <v>3051</v>
      </c>
      <c r="C375" s="63"/>
      <c r="D375" s="64" t="s">
        <v>3058</v>
      </c>
      <c r="E375" s="66" t="s">
        <v>3059</v>
      </c>
      <c r="F375" s="66" t="s">
        <v>1673</v>
      </c>
      <c r="G375" s="67" t="s">
        <v>1674</v>
      </c>
      <c r="H375" s="67" t="s">
        <v>3060</v>
      </c>
      <c r="I375" s="67" t="s">
        <v>3061</v>
      </c>
      <c r="J375" s="65" t="s">
        <v>1673</v>
      </c>
      <c r="K375" s="67" t="s">
        <v>1928</v>
      </c>
      <c r="L375" s="65" t="s">
        <v>3062</v>
      </c>
      <c r="M375" s="65" t="s">
        <v>3063</v>
      </c>
      <c r="N375" s="63"/>
    </row>
    <row r="376" spans="1:14" ht="12.75">
      <c r="A376" s="68"/>
      <c r="B376" s="74" t="s">
        <v>3051</v>
      </c>
      <c r="C376" s="63"/>
      <c r="D376" s="64" t="s">
        <v>3064</v>
      </c>
      <c r="E376" s="66" t="s">
        <v>3065</v>
      </c>
      <c r="F376" s="66" t="s">
        <v>1818</v>
      </c>
      <c r="G376" s="67" t="s">
        <v>1819</v>
      </c>
      <c r="H376" s="84" t="s">
        <v>3066</v>
      </c>
      <c r="I376" s="67" t="s">
        <v>3067</v>
      </c>
      <c r="J376" s="65" t="s">
        <v>2130</v>
      </c>
      <c r="K376" s="65" t="s">
        <v>2131</v>
      </c>
      <c r="L376" s="65" t="s">
        <v>3068</v>
      </c>
      <c r="M376" s="65"/>
      <c r="N376" s="63"/>
    </row>
    <row r="377" spans="1:14" ht="12.75">
      <c r="A377" s="68"/>
      <c r="B377" s="74" t="s">
        <v>3051</v>
      </c>
      <c r="C377" s="63"/>
      <c r="D377" s="64" t="s">
        <v>3069</v>
      </c>
      <c r="E377" s="66" t="s">
        <v>3070</v>
      </c>
      <c r="F377" s="66" t="s">
        <v>1673</v>
      </c>
      <c r="G377" s="67" t="s">
        <v>1674</v>
      </c>
      <c r="H377" s="67" t="s">
        <v>3071</v>
      </c>
      <c r="I377" s="67" t="s">
        <v>3072</v>
      </c>
      <c r="J377" s="65" t="s">
        <v>1673</v>
      </c>
      <c r="K377" s="67" t="s">
        <v>1928</v>
      </c>
      <c r="L377" s="65" t="s">
        <v>3073</v>
      </c>
      <c r="M377" s="65" t="s">
        <v>3074</v>
      </c>
      <c r="N377" s="63"/>
    </row>
    <row r="378" spans="1:14" ht="12.75">
      <c r="A378" s="68"/>
      <c r="B378" s="74" t="s">
        <v>3051</v>
      </c>
      <c r="C378" s="63"/>
      <c r="D378" s="64" t="s">
        <v>3075</v>
      </c>
      <c r="E378" s="66" t="s">
        <v>3076</v>
      </c>
      <c r="F378" s="66" t="s">
        <v>1673</v>
      </c>
      <c r="G378" s="67" t="s">
        <v>1674</v>
      </c>
      <c r="H378" s="67" t="s">
        <v>3077</v>
      </c>
      <c r="I378" s="67" t="s">
        <v>3078</v>
      </c>
      <c r="J378" s="65" t="s">
        <v>1673</v>
      </c>
      <c r="K378" s="67" t="s">
        <v>1928</v>
      </c>
      <c r="L378" s="65" t="s">
        <v>3079</v>
      </c>
      <c r="M378" s="65" t="s">
        <v>3080</v>
      </c>
      <c r="N378" s="63"/>
    </row>
    <row r="379" spans="1:14" ht="12.75">
      <c r="A379" s="68"/>
      <c r="B379" s="74" t="s">
        <v>3051</v>
      </c>
      <c r="C379" s="63"/>
      <c r="D379" s="64" t="s">
        <v>3081</v>
      </c>
      <c r="E379" s="66" t="s">
        <v>3082</v>
      </c>
      <c r="F379" s="66" t="s">
        <v>1663</v>
      </c>
      <c r="G379" s="67" t="s">
        <v>1664</v>
      </c>
      <c r="H379" s="65" t="s">
        <v>3083</v>
      </c>
      <c r="I379" s="65" t="s">
        <v>3084</v>
      </c>
      <c r="J379" s="67" t="s">
        <v>1667</v>
      </c>
      <c r="K379" s="67" t="s">
        <v>1668</v>
      </c>
      <c r="L379" s="65" t="s">
        <v>3085</v>
      </c>
      <c r="M379" s="65" t="s">
        <v>3086</v>
      </c>
      <c r="N379" s="63"/>
    </row>
    <row r="380" spans="1:14" ht="12.75">
      <c r="A380" s="68"/>
      <c r="B380" s="85" t="s">
        <v>3087</v>
      </c>
      <c r="C380" s="63"/>
      <c r="D380" s="64"/>
      <c r="E380" s="66"/>
      <c r="F380" s="66"/>
      <c r="G380" s="67"/>
      <c r="H380" s="67"/>
      <c r="I380" s="67"/>
      <c r="J380" s="67"/>
      <c r="K380" s="67"/>
      <c r="L380" s="65"/>
      <c r="M380" s="65"/>
      <c r="N380" s="63"/>
    </row>
    <row r="381" spans="1:14" ht="12.75">
      <c r="A381" s="68"/>
      <c r="B381" s="76" t="s">
        <v>3087</v>
      </c>
      <c r="C381" s="63"/>
      <c r="D381" s="64"/>
      <c r="E381" s="66"/>
      <c r="F381" s="66"/>
      <c r="G381" s="67"/>
      <c r="H381" s="67"/>
      <c r="I381" s="67"/>
      <c r="J381" s="67"/>
      <c r="K381" s="67"/>
      <c r="L381" s="65"/>
      <c r="M381" s="65"/>
      <c r="N381" s="63"/>
    </row>
    <row r="382" spans="1:14" ht="12.75">
      <c r="A382" s="68"/>
      <c r="B382" s="76" t="s">
        <v>3087</v>
      </c>
      <c r="C382" s="63"/>
      <c r="D382" s="64"/>
      <c r="E382" s="66"/>
      <c r="F382" s="66"/>
      <c r="G382" s="67"/>
      <c r="H382" s="67"/>
      <c r="I382" s="67"/>
      <c r="J382" s="67"/>
      <c r="K382" s="67"/>
      <c r="L382" s="65"/>
      <c r="M382" s="65"/>
      <c r="N382" s="63"/>
    </row>
    <row r="383" spans="1:14" ht="12.75">
      <c r="A383" s="68"/>
      <c r="B383" s="76" t="s">
        <v>3087</v>
      </c>
      <c r="C383" s="63"/>
      <c r="D383" s="64"/>
      <c r="E383" s="66"/>
      <c r="F383" s="66"/>
      <c r="G383" s="67"/>
      <c r="H383" s="67"/>
      <c r="I383" s="67"/>
      <c r="J383" s="67"/>
      <c r="K383" s="67"/>
      <c r="L383" s="65"/>
      <c r="M383" s="65"/>
      <c r="N383" s="63"/>
    </row>
    <row r="384" spans="1:14" ht="12.75">
      <c r="A384" s="68"/>
      <c r="B384" s="76" t="s">
        <v>3087</v>
      </c>
      <c r="C384" s="63"/>
      <c r="D384" s="64"/>
      <c r="E384" s="66"/>
      <c r="F384" s="66"/>
      <c r="G384" s="67"/>
      <c r="H384" s="67"/>
      <c r="I384" s="67"/>
      <c r="J384" s="67"/>
      <c r="K384" s="67"/>
      <c r="L384" s="65"/>
      <c r="M384" s="65"/>
      <c r="N384" s="63"/>
    </row>
    <row r="385" spans="1:14" ht="12.75">
      <c r="A385" s="68"/>
      <c r="B385" s="74" t="s">
        <v>3088</v>
      </c>
      <c r="C385" s="63"/>
      <c r="D385" s="64" t="s">
        <v>3089</v>
      </c>
      <c r="E385" s="64" t="s">
        <v>3090</v>
      </c>
      <c r="F385" s="64" t="s">
        <v>1673</v>
      </c>
      <c r="G385" s="65" t="s">
        <v>1674</v>
      </c>
      <c r="H385" s="65" t="s">
        <v>3091</v>
      </c>
      <c r="I385" s="65" t="s">
        <v>3092</v>
      </c>
      <c r="J385" s="65" t="s">
        <v>1673</v>
      </c>
      <c r="K385" s="65" t="s">
        <v>3093</v>
      </c>
      <c r="L385" s="65" t="s">
        <v>3094</v>
      </c>
      <c r="M385" s="65" t="s">
        <v>3095</v>
      </c>
      <c r="N385" s="63"/>
    </row>
    <row r="386" spans="1:14" ht="12.75">
      <c r="A386" s="68"/>
      <c r="B386" s="74" t="s">
        <v>3096</v>
      </c>
      <c r="C386" s="63"/>
      <c r="D386" s="64" t="s">
        <v>3097</v>
      </c>
      <c r="E386" s="64" t="s">
        <v>3098</v>
      </c>
      <c r="F386" s="64" t="s">
        <v>1818</v>
      </c>
      <c r="G386" s="65"/>
      <c r="H386" s="65">
        <v>9290131</v>
      </c>
      <c r="I386" s="65" t="s">
        <v>3099</v>
      </c>
      <c r="J386" s="65" t="s">
        <v>2130</v>
      </c>
      <c r="K386" s="65" t="s">
        <v>2131</v>
      </c>
      <c r="L386" s="65" t="s">
        <v>3100</v>
      </c>
      <c r="M386" s="65"/>
      <c r="N386" s="63"/>
    </row>
    <row r="387" spans="1:14" ht="12.75">
      <c r="A387" s="68"/>
      <c r="B387" s="74" t="s">
        <v>3096</v>
      </c>
      <c r="C387" s="63"/>
      <c r="D387" s="64" t="s">
        <v>3101</v>
      </c>
      <c r="E387" s="64" t="s">
        <v>3102</v>
      </c>
      <c r="F387" s="64" t="s">
        <v>1663</v>
      </c>
      <c r="G387" s="65" t="s">
        <v>1664</v>
      </c>
      <c r="H387" s="65" t="s">
        <v>3103</v>
      </c>
      <c r="I387" s="65" t="s">
        <v>3104</v>
      </c>
      <c r="J387" s="65" t="s">
        <v>1667</v>
      </c>
      <c r="K387" s="65" t="s">
        <v>1668</v>
      </c>
      <c r="L387" s="65" t="s">
        <v>3105</v>
      </c>
      <c r="M387" s="65" t="s">
        <v>3106</v>
      </c>
      <c r="N387" s="63"/>
    </row>
    <row r="388" spans="1:14" ht="12.75">
      <c r="A388" s="68"/>
      <c r="B388" s="74" t="s">
        <v>3088</v>
      </c>
      <c r="C388" s="63"/>
      <c r="D388" s="64" t="s">
        <v>3107</v>
      </c>
      <c r="E388" s="64" t="s">
        <v>3108</v>
      </c>
      <c r="F388" s="64" t="s">
        <v>1673</v>
      </c>
      <c r="G388" s="65" t="s">
        <v>1674</v>
      </c>
      <c r="H388" s="65" t="s">
        <v>3109</v>
      </c>
      <c r="I388" s="65" t="s">
        <v>3110</v>
      </c>
      <c r="J388" s="65" t="s">
        <v>1673</v>
      </c>
      <c r="K388" s="65" t="s">
        <v>3093</v>
      </c>
      <c r="L388" s="65" t="s">
        <v>3111</v>
      </c>
      <c r="M388" s="65" t="s">
        <v>3112</v>
      </c>
      <c r="N388" s="63"/>
    </row>
    <row r="389" spans="1:14" ht="12.75">
      <c r="A389" s="68"/>
      <c r="B389" s="74" t="s">
        <v>3113</v>
      </c>
      <c r="C389" s="63"/>
      <c r="D389" s="64" t="s">
        <v>3114</v>
      </c>
      <c r="E389" s="64" t="s">
        <v>3115</v>
      </c>
      <c r="F389" s="64" t="s">
        <v>1673</v>
      </c>
      <c r="G389" s="65" t="s">
        <v>1674</v>
      </c>
      <c r="H389" s="65" t="s">
        <v>2562</v>
      </c>
      <c r="I389" s="65" t="s">
        <v>3116</v>
      </c>
      <c r="J389" s="65" t="s">
        <v>1673</v>
      </c>
      <c r="K389" s="65" t="s">
        <v>3093</v>
      </c>
      <c r="L389" s="65" t="s">
        <v>3117</v>
      </c>
      <c r="M389" s="65" t="s">
        <v>3118</v>
      </c>
      <c r="N389" s="63"/>
    </row>
    <row r="390" spans="1:14" ht="12.75">
      <c r="A390" s="68"/>
      <c r="B390" s="74" t="s">
        <v>3119</v>
      </c>
      <c r="C390" s="63"/>
      <c r="D390" s="64" t="s">
        <v>2037</v>
      </c>
      <c r="E390" s="64"/>
      <c r="F390" s="64"/>
      <c r="G390" s="65"/>
      <c r="H390" s="65"/>
      <c r="I390" s="65"/>
      <c r="J390" s="65"/>
      <c r="K390" s="65"/>
      <c r="L390" s="65"/>
      <c r="M390" s="65"/>
      <c r="N390" s="63"/>
    </row>
    <row r="391" spans="1:14" ht="12.75">
      <c r="A391" s="68"/>
      <c r="B391" s="76" t="s">
        <v>3120</v>
      </c>
      <c r="C391" s="63"/>
      <c r="D391" s="64"/>
      <c r="E391" s="64"/>
      <c r="F391" s="66"/>
      <c r="G391" s="67"/>
      <c r="H391" s="67"/>
      <c r="I391" s="67"/>
      <c r="J391" s="67"/>
      <c r="K391" s="67"/>
      <c r="L391" s="65"/>
      <c r="M391" s="65"/>
      <c r="N391" s="63"/>
    </row>
    <row r="392" spans="1:14" ht="12.75">
      <c r="A392" s="68"/>
      <c r="B392" s="76" t="s">
        <v>3120</v>
      </c>
      <c r="C392" s="63"/>
      <c r="D392" s="64"/>
      <c r="E392" s="64"/>
      <c r="F392" s="66"/>
      <c r="G392" s="67"/>
      <c r="H392" s="67"/>
      <c r="I392" s="67"/>
      <c r="J392" s="67"/>
      <c r="K392" s="67"/>
      <c r="L392" s="65"/>
      <c r="M392" s="65"/>
      <c r="N392" s="63"/>
    </row>
    <row r="393" spans="1:14" ht="12.75">
      <c r="A393" s="68"/>
      <c r="B393" s="76" t="s">
        <v>3120</v>
      </c>
      <c r="C393" s="63"/>
      <c r="D393" s="64"/>
      <c r="E393" s="64"/>
      <c r="F393" s="66"/>
      <c r="G393" s="67"/>
      <c r="H393" s="67"/>
      <c r="I393" s="67"/>
      <c r="J393" s="67"/>
      <c r="K393" s="67"/>
      <c r="L393" s="65"/>
      <c r="M393" s="65"/>
      <c r="N393" s="63"/>
    </row>
    <row r="394" spans="1:14" ht="12.75">
      <c r="A394" s="68"/>
      <c r="B394" s="74" t="s">
        <v>3121</v>
      </c>
      <c r="C394" s="63"/>
      <c r="D394" s="64" t="s">
        <v>3122</v>
      </c>
      <c r="E394" s="66" t="s">
        <v>3123</v>
      </c>
      <c r="F394" s="66" t="s">
        <v>1673</v>
      </c>
      <c r="G394" s="67" t="s">
        <v>1674</v>
      </c>
      <c r="H394" s="67" t="s">
        <v>3124</v>
      </c>
      <c r="I394" s="67" t="s">
        <v>3125</v>
      </c>
      <c r="J394" s="65" t="s">
        <v>1673</v>
      </c>
      <c r="K394" s="65" t="s">
        <v>1928</v>
      </c>
      <c r="L394" s="65" t="s">
        <v>3126</v>
      </c>
      <c r="M394" s="65" t="s">
        <v>3127</v>
      </c>
      <c r="N394" s="63"/>
    </row>
    <row r="395" spans="1:14" ht="12.75">
      <c r="A395" s="68"/>
      <c r="B395" s="74" t="s">
        <v>3121</v>
      </c>
      <c r="C395" s="63"/>
      <c r="D395" s="64" t="s">
        <v>3128</v>
      </c>
      <c r="E395" s="66" t="s">
        <v>3129</v>
      </c>
      <c r="F395" s="66" t="s">
        <v>1673</v>
      </c>
      <c r="G395" s="67" t="s">
        <v>1674</v>
      </c>
      <c r="H395" s="67" t="s">
        <v>3130</v>
      </c>
      <c r="I395" s="67" t="s">
        <v>3131</v>
      </c>
      <c r="J395" s="65" t="s">
        <v>1673</v>
      </c>
      <c r="K395" s="65" t="s">
        <v>1928</v>
      </c>
      <c r="L395" s="65" t="s">
        <v>3132</v>
      </c>
      <c r="M395" s="65" t="s">
        <v>3133</v>
      </c>
      <c r="N395" s="63"/>
    </row>
    <row r="396" spans="1:14" ht="12.75">
      <c r="A396" s="68"/>
      <c r="B396" s="74" t="s">
        <v>3121</v>
      </c>
      <c r="C396" s="63"/>
      <c r="D396" s="64" t="s">
        <v>3134</v>
      </c>
      <c r="E396" s="66" t="s">
        <v>3135</v>
      </c>
      <c r="F396" s="66" t="s">
        <v>1673</v>
      </c>
      <c r="G396" s="67" t="s">
        <v>1674</v>
      </c>
      <c r="H396" s="67" t="s">
        <v>3136</v>
      </c>
      <c r="I396" s="67" t="s">
        <v>3137</v>
      </c>
      <c r="J396" s="65" t="s">
        <v>1673</v>
      </c>
      <c r="K396" s="65" t="s">
        <v>1928</v>
      </c>
      <c r="L396" s="65" t="s">
        <v>3138</v>
      </c>
      <c r="M396" s="65" t="s">
        <v>3139</v>
      </c>
      <c r="N396" s="63"/>
    </row>
    <row r="397" spans="1:14" ht="12.75">
      <c r="A397" s="68"/>
      <c r="B397" s="74" t="s">
        <v>3121</v>
      </c>
      <c r="C397" s="63"/>
      <c r="D397" s="64" t="s">
        <v>3140</v>
      </c>
      <c r="E397" s="66" t="s">
        <v>3141</v>
      </c>
      <c r="F397" s="66" t="s">
        <v>1663</v>
      </c>
      <c r="G397" s="67" t="s">
        <v>2040</v>
      </c>
      <c r="H397" s="67" t="s">
        <v>3142</v>
      </c>
      <c r="I397" s="67" t="s">
        <v>3143</v>
      </c>
      <c r="J397" s="65" t="s">
        <v>1667</v>
      </c>
      <c r="K397" s="65" t="s">
        <v>1668</v>
      </c>
      <c r="L397" s="65" t="s">
        <v>3144</v>
      </c>
      <c r="M397" s="65" t="s">
        <v>3145</v>
      </c>
      <c r="N397" s="63"/>
    </row>
    <row r="398" spans="1:14" ht="12.75">
      <c r="A398" s="68"/>
      <c r="B398" s="74" t="s">
        <v>3121</v>
      </c>
      <c r="C398" s="63"/>
      <c r="D398" s="64" t="s">
        <v>3146</v>
      </c>
      <c r="E398" s="66"/>
      <c r="F398" s="66"/>
      <c r="G398" s="67"/>
      <c r="H398" s="67"/>
      <c r="I398" s="67"/>
      <c r="J398" s="67"/>
      <c r="K398" s="67"/>
      <c r="L398" s="65"/>
      <c r="M398" s="65"/>
      <c r="N398" s="63"/>
    </row>
    <row r="399" spans="1:14" ht="12.75">
      <c r="A399" s="68"/>
      <c r="B399" s="76" t="s">
        <v>3147</v>
      </c>
      <c r="C399" s="63"/>
      <c r="D399" s="64"/>
      <c r="E399" s="66"/>
      <c r="F399" s="66"/>
      <c r="G399" s="67"/>
      <c r="H399" s="67"/>
      <c r="I399" s="67"/>
      <c r="J399" s="67"/>
      <c r="K399" s="67"/>
      <c r="L399" s="65"/>
      <c r="M399" s="65"/>
      <c r="N399" s="63"/>
    </row>
    <row r="400" spans="1:14" ht="12.75">
      <c r="A400" s="68"/>
      <c r="B400" s="76" t="s">
        <v>3147</v>
      </c>
      <c r="C400" s="63"/>
      <c r="D400" s="64"/>
      <c r="E400" s="66"/>
      <c r="F400" s="66"/>
      <c r="G400" s="67"/>
      <c r="H400" s="67"/>
      <c r="I400" s="67"/>
      <c r="J400" s="67"/>
      <c r="K400" s="67"/>
      <c r="L400" s="65"/>
      <c r="M400" s="65"/>
      <c r="N400" s="63"/>
    </row>
    <row r="401" spans="1:14" ht="12.75">
      <c r="A401" s="68"/>
      <c r="B401" s="76" t="s">
        <v>3147</v>
      </c>
      <c r="C401" s="63"/>
      <c r="D401" s="64"/>
      <c r="E401" s="66"/>
      <c r="F401" s="66"/>
      <c r="G401" s="67"/>
      <c r="H401" s="67"/>
      <c r="I401" s="67"/>
      <c r="J401" s="67"/>
      <c r="K401" s="67"/>
      <c r="L401" s="65"/>
      <c r="M401" s="65"/>
      <c r="N401" s="63"/>
    </row>
    <row r="402" spans="1:14" ht="12.75">
      <c r="A402" s="68"/>
      <c r="B402" s="74" t="s">
        <v>3148</v>
      </c>
      <c r="C402" s="63"/>
      <c r="D402" s="64" t="s">
        <v>3149</v>
      </c>
      <c r="E402" s="64" t="s">
        <v>3150</v>
      </c>
      <c r="F402" s="64" t="s">
        <v>1673</v>
      </c>
      <c r="G402" s="65" t="s">
        <v>1674</v>
      </c>
      <c r="H402" s="65" t="s">
        <v>3151</v>
      </c>
      <c r="I402" s="65" t="s">
        <v>3152</v>
      </c>
      <c r="J402" s="65" t="s">
        <v>1673</v>
      </c>
      <c r="K402" s="65" t="s">
        <v>1928</v>
      </c>
      <c r="L402" s="65" t="s">
        <v>3153</v>
      </c>
      <c r="M402" s="65" t="s">
        <v>3154</v>
      </c>
      <c r="N402" s="63"/>
    </row>
    <row r="403" spans="1:14" ht="12.75">
      <c r="A403" s="68"/>
      <c r="B403" s="74" t="s">
        <v>3148</v>
      </c>
      <c r="C403" s="63"/>
      <c r="D403" s="64" t="s">
        <v>3155</v>
      </c>
      <c r="E403" s="64" t="s">
        <v>3156</v>
      </c>
      <c r="F403" s="64" t="s">
        <v>1818</v>
      </c>
      <c r="G403" s="65" t="s">
        <v>1819</v>
      </c>
      <c r="H403" s="65" t="s">
        <v>3157</v>
      </c>
      <c r="I403" s="65" t="s">
        <v>3158</v>
      </c>
      <c r="J403" s="65" t="s">
        <v>1682</v>
      </c>
      <c r="K403" s="65" t="s">
        <v>2077</v>
      </c>
      <c r="L403" s="65" t="s">
        <v>3159</v>
      </c>
      <c r="M403" s="65" t="s">
        <v>3160</v>
      </c>
      <c r="N403" s="63"/>
    </row>
    <row r="404" spans="1:14" ht="12.75">
      <c r="A404" s="68"/>
      <c r="B404" s="74" t="s">
        <v>3148</v>
      </c>
      <c r="C404" s="63"/>
      <c r="D404" s="64" t="s">
        <v>3161</v>
      </c>
      <c r="E404" s="64" t="s">
        <v>3162</v>
      </c>
      <c r="F404" s="64" t="s">
        <v>1673</v>
      </c>
      <c r="G404" s="65" t="s">
        <v>1674</v>
      </c>
      <c r="H404" s="65" t="s">
        <v>3163</v>
      </c>
      <c r="I404" s="65" t="s">
        <v>3164</v>
      </c>
      <c r="J404" s="65" t="s">
        <v>1673</v>
      </c>
      <c r="K404" s="65" t="s">
        <v>1928</v>
      </c>
      <c r="L404" s="65" t="s">
        <v>3165</v>
      </c>
      <c r="M404" s="65" t="s">
        <v>3166</v>
      </c>
      <c r="N404" s="63"/>
    </row>
    <row r="405" spans="1:14" ht="12.75">
      <c r="A405" s="68"/>
      <c r="B405" s="74" t="s">
        <v>3148</v>
      </c>
      <c r="C405" s="63"/>
      <c r="D405" s="64" t="s">
        <v>3167</v>
      </c>
      <c r="E405" s="64" t="s">
        <v>3168</v>
      </c>
      <c r="F405" s="64" t="s">
        <v>1673</v>
      </c>
      <c r="G405" s="65" t="s">
        <v>1674</v>
      </c>
      <c r="H405" s="65" t="s">
        <v>3169</v>
      </c>
      <c r="I405" s="65" t="s">
        <v>3170</v>
      </c>
      <c r="J405" s="65" t="s">
        <v>1673</v>
      </c>
      <c r="K405" s="65" t="s">
        <v>1928</v>
      </c>
      <c r="L405" s="65" t="s">
        <v>3171</v>
      </c>
      <c r="M405" s="65" t="s">
        <v>3172</v>
      </c>
      <c r="N405" s="63"/>
    </row>
    <row r="406" spans="1:14" ht="12.75">
      <c r="A406" s="68"/>
      <c r="B406" s="74" t="s">
        <v>3148</v>
      </c>
      <c r="C406" s="63"/>
      <c r="D406" s="64" t="s">
        <v>3173</v>
      </c>
      <c r="E406" s="64" t="s">
        <v>3174</v>
      </c>
      <c r="F406" s="64" t="s">
        <v>1663</v>
      </c>
      <c r="G406" s="65" t="s">
        <v>1664</v>
      </c>
      <c r="H406" s="65" t="s">
        <v>3175</v>
      </c>
      <c r="I406" s="65" t="s">
        <v>3176</v>
      </c>
      <c r="J406" s="65" t="s">
        <v>1667</v>
      </c>
      <c r="K406" s="65" t="s">
        <v>1668</v>
      </c>
      <c r="L406" s="65" t="s">
        <v>3177</v>
      </c>
      <c r="M406" s="65" t="s">
        <v>3178</v>
      </c>
      <c r="N406" s="63"/>
    </row>
    <row r="407" spans="1:14" ht="12.75">
      <c r="A407" s="68"/>
      <c r="B407" s="74" t="s">
        <v>3148</v>
      </c>
      <c r="C407" s="63"/>
      <c r="D407" s="64" t="s">
        <v>2037</v>
      </c>
      <c r="E407" s="64" t="s">
        <v>3179</v>
      </c>
      <c r="F407" s="64" t="s">
        <v>1682</v>
      </c>
      <c r="G407" s="65" t="s">
        <v>1950</v>
      </c>
      <c r="H407" s="65">
        <v>3108780</v>
      </c>
      <c r="I407" s="65" t="s">
        <v>1687</v>
      </c>
      <c r="J407" s="65" t="s">
        <v>1667</v>
      </c>
      <c r="K407" s="65" t="s">
        <v>1951</v>
      </c>
      <c r="L407" s="65" t="s">
        <v>3180</v>
      </c>
      <c r="M407" s="65" t="s">
        <v>1687</v>
      </c>
      <c r="N407" s="63"/>
    </row>
    <row r="408" spans="1:14" ht="12.75">
      <c r="A408" s="68"/>
      <c r="B408" s="76" t="s">
        <v>3181</v>
      </c>
      <c r="C408" s="63"/>
      <c r="D408" s="64"/>
      <c r="E408" s="64"/>
      <c r="F408" s="66"/>
      <c r="G408" s="67"/>
      <c r="H408" s="67"/>
      <c r="I408" s="67"/>
      <c r="J408" s="67"/>
      <c r="K408" s="67"/>
      <c r="L408" s="65"/>
      <c r="M408" s="65"/>
      <c r="N408" s="63"/>
    </row>
    <row r="409" spans="1:14" ht="12.75">
      <c r="A409" s="68"/>
      <c r="B409" s="76" t="s">
        <v>3181</v>
      </c>
      <c r="C409" s="63"/>
      <c r="D409" s="64"/>
      <c r="E409" s="64"/>
      <c r="F409" s="66"/>
      <c r="G409" s="67"/>
      <c r="H409" s="67"/>
      <c r="I409" s="67"/>
      <c r="J409" s="67"/>
      <c r="K409" s="67"/>
      <c r="L409" s="65"/>
      <c r="M409" s="65"/>
      <c r="N409" s="63"/>
    </row>
    <row r="410" spans="1:14" ht="12.75">
      <c r="A410" s="68"/>
      <c r="B410" s="76" t="s">
        <v>3181</v>
      </c>
      <c r="C410" s="63"/>
      <c r="D410" s="64"/>
      <c r="E410" s="64"/>
      <c r="F410" s="66"/>
      <c r="G410" s="67"/>
      <c r="H410" s="67"/>
      <c r="I410" s="67"/>
      <c r="J410" s="67"/>
      <c r="K410" s="67"/>
      <c r="L410" s="65"/>
      <c r="M410" s="65"/>
      <c r="N410" s="63"/>
    </row>
    <row r="411" spans="1:14" ht="12.75">
      <c r="A411" s="68"/>
      <c r="B411" s="74" t="s">
        <v>3182</v>
      </c>
      <c r="C411" s="63"/>
      <c r="D411" s="64" t="s">
        <v>3183</v>
      </c>
      <c r="E411" s="64" t="s">
        <v>3184</v>
      </c>
      <c r="F411" s="64" t="s">
        <v>1682</v>
      </c>
      <c r="G411" s="65" t="s">
        <v>2074</v>
      </c>
      <c r="H411" s="65" t="s">
        <v>3185</v>
      </c>
      <c r="I411" s="65" t="s">
        <v>2848</v>
      </c>
      <c r="J411" s="65" t="s">
        <v>1682</v>
      </c>
      <c r="K411" s="65" t="s">
        <v>2077</v>
      </c>
      <c r="L411" s="65" t="s">
        <v>3186</v>
      </c>
      <c r="M411" s="65" t="s">
        <v>3187</v>
      </c>
      <c r="N411" s="63"/>
    </row>
    <row r="412" spans="1:14" ht="12.75">
      <c r="A412" s="68"/>
      <c r="B412" s="74" t="s">
        <v>3182</v>
      </c>
      <c r="C412" s="63"/>
      <c r="D412" s="64" t="s">
        <v>3188</v>
      </c>
      <c r="E412" s="64" t="s">
        <v>3189</v>
      </c>
      <c r="F412" s="64" t="s">
        <v>1673</v>
      </c>
      <c r="G412" s="65" t="s">
        <v>1674</v>
      </c>
      <c r="H412" s="65" t="s">
        <v>3190</v>
      </c>
      <c r="I412" s="65" t="s">
        <v>3191</v>
      </c>
      <c r="J412" s="65" t="s">
        <v>1673</v>
      </c>
      <c r="K412" s="65" t="s">
        <v>1928</v>
      </c>
      <c r="L412" s="65" t="s">
        <v>3192</v>
      </c>
      <c r="M412" s="65" t="s">
        <v>3193</v>
      </c>
      <c r="N412" s="63"/>
    </row>
    <row r="413" spans="1:14" ht="12.75">
      <c r="A413" s="68"/>
      <c r="B413" s="74" t="s">
        <v>3182</v>
      </c>
      <c r="C413" s="63"/>
      <c r="D413" s="64" t="s">
        <v>3194</v>
      </c>
      <c r="E413" s="64" t="s">
        <v>3195</v>
      </c>
      <c r="F413" s="64" t="s">
        <v>1673</v>
      </c>
      <c r="G413" s="65" t="s">
        <v>1674</v>
      </c>
      <c r="H413" s="65" t="s">
        <v>3196</v>
      </c>
      <c r="I413" s="65" t="s">
        <v>3197</v>
      </c>
      <c r="J413" s="65" t="s">
        <v>1673</v>
      </c>
      <c r="K413" s="65" t="s">
        <v>1928</v>
      </c>
      <c r="L413" s="65" t="s">
        <v>3198</v>
      </c>
      <c r="M413" s="65" t="s">
        <v>3199</v>
      </c>
      <c r="N413" s="63"/>
    </row>
    <row r="414" spans="1:14" ht="12.75">
      <c r="A414" s="68"/>
      <c r="B414" s="74" t="s">
        <v>3182</v>
      </c>
      <c r="C414" s="63"/>
      <c r="D414" s="64" t="s">
        <v>3200</v>
      </c>
      <c r="E414" s="64" t="s">
        <v>3201</v>
      </c>
      <c r="F414" s="64" t="s">
        <v>1673</v>
      </c>
      <c r="G414" s="65" t="s">
        <v>1674</v>
      </c>
      <c r="H414" s="65" t="s">
        <v>3202</v>
      </c>
      <c r="I414" s="65" t="s">
        <v>3203</v>
      </c>
      <c r="J414" s="65" t="s">
        <v>1673</v>
      </c>
      <c r="K414" s="65" t="s">
        <v>1928</v>
      </c>
      <c r="L414" s="65" t="s">
        <v>3204</v>
      </c>
      <c r="M414" s="65" t="s">
        <v>3205</v>
      </c>
      <c r="N414" s="63"/>
    </row>
    <row r="415" spans="1:14" ht="12.75">
      <c r="A415" s="68"/>
      <c r="B415" s="74" t="s">
        <v>3182</v>
      </c>
      <c r="C415" s="63"/>
      <c r="D415" s="64" t="s">
        <v>3206</v>
      </c>
      <c r="E415" s="64" t="s">
        <v>3207</v>
      </c>
      <c r="F415" s="64" t="s">
        <v>1663</v>
      </c>
      <c r="G415" s="65" t="s">
        <v>1664</v>
      </c>
      <c r="H415" s="65" t="s">
        <v>3208</v>
      </c>
      <c r="I415" s="65" t="s">
        <v>3209</v>
      </c>
      <c r="J415" s="65" t="s">
        <v>1667</v>
      </c>
      <c r="K415" s="65" t="s">
        <v>1668</v>
      </c>
      <c r="L415" s="65" t="s">
        <v>3210</v>
      </c>
      <c r="M415" s="65" t="s">
        <v>3211</v>
      </c>
      <c r="N415" s="63"/>
    </row>
    <row r="416" spans="1:14" ht="12.75">
      <c r="A416" s="68"/>
      <c r="B416" s="74" t="s">
        <v>3182</v>
      </c>
      <c r="C416" s="63"/>
      <c r="D416" s="64" t="s">
        <v>3212</v>
      </c>
      <c r="E416" s="64" t="s">
        <v>3213</v>
      </c>
      <c r="F416" s="64" t="s">
        <v>1682</v>
      </c>
      <c r="G416" s="65" t="s">
        <v>2074</v>
      </c>
      <c r="H416" s="65" t="s">
        <v>3214</v>
      </c>
      <c r="I416" s="65" t="s">
        <v>3215</v>
      </c>
      <c r="J416" s="65" t="s">
        <v>1682</v>
      </c>
      <c r="K416" s="67" t="s">
        <v>2077</v>
      </c>
      <c r="L416" s="65" t="s">
        <v>3216</v>
      </c>
      <c r="M416" s="65" t="s">
        <v>3217</v>
      </c>
      <c r="N416" s="63"/>
    </row>
    <row r="417" spans="1:14" ht="12.75">
      <c r="A417" s="68"/>
      <c r="B417" s="74" t="s">
        <v>3182</v>
      </c>
      <c r="C417" s="63"/>
      <c r="D417" s="64" t="s">
        <v>3218</v>
      </c>
      <c r="E417" s="64" t="s">
        <v>3219</v>
      </c>
      <c r="F417" s="64" t="s">
        <v>1682</v>
      </c>
      <c r="G417" s="65" t="s">
        <v>2476</v>
      </c>
      <c r="H417" s="65" t="s">
        <v>3220</v>
      </c>
      <c r="I417" s="65" t="s">
        <v>3221</v>
      </c>
      <c r="J417" s="65" t="s">
        <v>1682</v>
      </c>
      <c r="K417" s="65" t="s">
        <v>1837</v>
      </c>
      <c r="L417" s="65">
        <v>30708572</v>
      </c>
      <c r="M417" s="65" t="s">
        <v>3222</v>
      </c>
      <c r="N417" s="63"/>
    </row>
    <row r="418" spans="1:14" ht="12.75">
      <c r="A418" s="68"/>
      <c r="B418" s="76" t="s">
        <v>3223</v>
      </c>
      <c r="C418" s="63"/>
      <c r="D418" s="64"/>
      <c r="E418" s="66"/>
      <c r="F418" s="66"/>
      <c r="G418" s="67"/>
      <c r="H418" s="67"/>
      <c r="I418" s="67"/>
      <c r="J418" s="67"/>
      <c r="K418" s="67"/>
      <c r="L418" s="65"/>
      <c r="M418" s="65"/>
      <c r="N418" s="63"/>
    </row>
    <row r="419" spans="1:14" ht="12.75">
      <c r="A419" s="68"/>
      <c r="B419" s="76" t="s">
        <v>3223</v>
      </c>
      <c r="C419" s="63"/>
      <c r="D419" s="64"/>
      <c r="E419" s="66"/>
      <c r="F419" s="66"/>
      <c r="G419" s="67"/>
      <c r="H419" s="67"/>
      <c r="I419" s="67"/>
      <c r="J419" s="67"/>
      <c r="K419" s="67"/>
      <c r="L419" s="65"/>
      <c r="M419" s="65"/>
      <c r="N419" s="63"/>
    </row>
    <row r="420" spans="1:14" ht="12.75">
      <c r="A420" s="68"/>
      <c r="B420" s="74" t="s">
        <v>3224</v>
      </c>
      <c r="C420" s="63"/>
      <c r="D420" s="64" t="s">
        <v>3225</v>
      </c>
      <c r="E420" s="64" t="s">
        <v>3226</v>
      </c>
      <c r="F420" s="64" t="s">
        <v>1673</v>
      </c>
      <c r="G420" s="65" t="s">
        <v>1674</v>
      </c>
      <c r="H420" s="65" t="s">
        <v>3227</v>
      </c>
      <c r="I420" s="65" t="s">
        <v>3228</v>
      </c>
      <c r="J420" s="65" t="s">
        <v>1673</v>
      </c>
      <c r="K420" s="65" t="s">
        <v>1928</v>
      </c>
      <c r="L420" s="65" t="s">
        <v>3229</v>
      </c>
      <c r="M420" s="65" t="s">
        <v>3230</v>
      </c>
      <c r="N420" s="63"/>
    </row>
    <row r="421" spans="1:14" ht="12.75">
      <c r="A421" s="68"/>
      <c r="B421" s="74" t="s">
        <v>3224</v>
      </c>
      <c r="C421" s="63"/>
      <c r="D421" s="64" t="s">
        <v>3231</v>
      </c>
      <c r="E421" s="64" t="s">
        <v>3232</v>
      </c>
      <c r="F421" s="64" t="s">
        <v>1673</v>
      </c>
      <c r="G421" s="65" t="s">
        <v>1674</v>
      </c>
      <c r="H421" s="65" t="s">
        <v>3233</v>
      </c>
      <c r="I421" s="65" t="s">
        <v>3234</v>
      </c>
      <c r="J421" s="65" t="s">
        <v>1673</v>
      </c>
      <c r="K421" s="65" t="s">
        <v>1928</v>
      </c>
      <c r="L421" s="65" t="s">
        <v>3235</v>
      </c>
      <c r="M421" s="65" t="s">
        <v>3236</v>
      </c>
      <c r="N421" s="63"/>
    </row>
    <row r="422" spans="1:14" ht="12.75">
      <c r="A422" s="68"/>
      <c r="B422" s="74" t="s">
        <v>3224</v>
      </c>
      <c r="C422" s="63"/>
      <c r="D422" s="64" t="s">
        <v>3237</v>
      </c>
      <c r="E422" s="64" t="s">
        <v>3238</v>
      </c>
      <c r="F422" s="64" t="s">
        <v>1663</v>
      </c>
      <c r="G422" s="65" t="s">
        <v>1664</v>
      </c>
      <c r="H422" s="65" t="s">
        <v>3239</v>
      </c>
      <c r="I422" s="65" t="s">
        <v>3240</v>
      </c>
      <c r="J422" s="65" t="s">
        <v>1667</v>
      </c>
      <c r="K422" s="65" t="s">
        <v>1668</v>
      </c>
      <c r="L422" s="65" t="s">
        <v>3241</v>
      </c>
      <c r="M422" s="65" t="s">
        <v>3242</v>
      </c>
      <c r="N422" s="63"/>
    </row>
    <row r="423" spans="1:14" ht="12.75">
      <c r="A423" s="68"/>
      <c r="B423" s="74" t="s">
        <v>3224</v>
      </c>
      <c r="C423" s="63"/>
      <c r="D423" s="64" t="s">
        <v>3243</v>
      </c>
      <c r="E423" s="64" t="s">
        <v>3244</v>
      </c>
      <c r="F423" s="64" t="s">
        <v>1673</v>
      </c>
      <c r="G423" s="65" t="s">
        <v>1674</v>
      </c>
      <c r="H423" s="65" t="s">
        <v>3245</v>
      </c>
      <c r="I423" s="65" t="s">
        <v>3246</v>
      </c>
      <c r="J423" s="65" t="s">
        <v>1673</v>
      </c>
      <c r="K423" s="65" t="s">
        <v>1928</v>
      </c>
      <c r="L423" s="65" t="s">
        <v>3247</v>
      </c>
      <c r="M423" s="65" t="s">
        <v>3248</v>
      </c>
      <c r="N423" s="63"/>
    </row>
    <row r="424" spans="1:14" ht="12.75">
      <c r="A424" s="68"/>
      <c r="B424" s="76" t="s">
        <v>3249</v>
      </c>
      <c r="C424" s="63"/>
      <c r="D424" s="64"/>
      <c r="E424" s="64"/>
      <c r="F424" s="66"/>
      <c r="G424" s="67"/>
      <c r="H424" s="67"/>
      <c r="I424" s="67"/>
      <c r="J424" s="67"/>
      <c r="K424" s="67"/>
      <c r="L424" s="65"/>
      <c r="M424" s="65"/>
      <c r="N424" s="63"/>
    </row>
    <row r="425" spans="1:14" ht="12.75">
      <c r="A425" s="68"/>
      <c r="B425" s="76" t="s">
        <v>3249</v>
      </c>
      <c r="C425" s="63"/>
      <c r="D425" s="64"/>
      <c r="E425" s="64"/>
      <c r="F425" s="66"/>
      <c r="G425" s="67"/>
      <c r="H425" s="67"/>
      <c r="I425" s="67"/>
      <c r="J425" s="67"/>
      <c r="K425" s="67"/>
      <c r="L425" s="65"/>
      <c r="M425" s="65"/>
      <c r="N425" s="63"/>
    </row>
    <row r="426" spans="1:14" ht="12.75">
      <c r="A426" s="68"/>
      <c r="B426" s="76" t="s">
        <v>3249</v>
      </c>
      <c r="C426" s="63"/>
      <c r="D426" s="64"/>
      <c r="E426" s="64"/>
      <c r="F426" s="66"/>
      <c r="G426" s="67"/>
      <c r="H426" s="67"/>
      <c r="I426" s="67"/>
      <c r="J426" s="67"/>
      <c r="K426" s="67"/>
      <c r="L426" s="65"/>
      <c r="M426" s="65"/>
      <c r="N426" s="63"/>
    </row>
    <row r="427" spans="1:14" ht="12.75">
      <c r="A427" s="68"/>
      <c r="B427" s="74" t="s">
        <v>3250</v>
      </c>
      <c r="C427" s="63"/>
      <c r="D427" s="64" t="s">
        <v>3251</v>
      </c>
      <c r="E427" s="64" t="s">
        <v>3252</v>
      </c>
      <c r="F427" s="64" t="s">
        <v>1818</v>
      </c>
      <c r="G427" s="65" t="s">
        <v>2398</v>
      </c>
      <c r="H427" s="65">
        <v>9290085</v>
      </c>
      <c r="I427" s="65" t="s">
        <v>3253</v>
      </c>
      <c r="J427" s="65" t="s">
        <v>1682</v>
      </c>
      <c r="K427" s="65" t="s">
        <v>2077</v>
      </c>
      <c r="L427" s="65" t="s">
        <v>3254</v>
      </c>
      <c r="M427" s="65" t="s">
        <v>2816</v>
      </c>
      <c r="N427" s="63"/>
    </row>
    <row r="428" spans="1:14" ht="12.75">
      <c r="A428" s="68"/>
      <c r="B428" s="74" t="s">
        <v>3250</v>
      </c>
      <c r="C428" s="63"/>
      <c r="D428" s="64" t="s">
        <v>3255</v>
      </c>
      <c r="E428" s="64" t="s">
        <v>3256</v>
      </c>
      <c r="F428" s="64" t="s">
        <v>1682</v>
      </c>
      <c r="G428" s="65" t="s">
        <v>2074</v>
      </c>
      <c r="H428" s="65" t="s">
        <v>3257</v>
      </c>
      <c r="I428" s="65"/>
      <c r="J428" s="65" t="s">
        <v>2130</v>
      </c>
      <c r="K428" s="65" t="s">
        <v>3258</v>
      </c>
      <c r="L428" s="65" t="s">
        <v>3259</v>
      </c>
      <c r="M428" s="65"/>
      <c r="N428" s="63"/>
    </row>
    <row r="429" spans="1:14" ht="12.75">
      <c r="A429" s="68"/>
      <c r="B429" s="74" t="s">
        <v>3260</v>
      </c>
      <c r="C429" s="63"/>
      <c r="D429" s="64" t="s">
        <v>3261</v>
      </c>
      <c r="E429" s="64" t="s">
        <v>3262</v>
      </c>
      <c r="F429" s="64" t="s">
        <v>1673</v>
      </c>
      <c r="G429" s="65" t="s">
        <v>1673</v>
      </c>
      <c r="H429" s="65" t="s">
        <v>3263</v>
      </c>
      <c r="I429" s="65" t="s">
        <v>3264</v>
      </c>
      <c r="J429" s="65" t="s">
        <v>1673</v>
      </c>
      <c r="K429" s="65" t="s">
        <v>2077</v>
      </c>
      <c r="L429" s="65" t="s">
        <v>3265</v>
      </c>
      <c r="M429" s="65" t="s">
        <v>3266</v>
      </c>
      <c r="N429" s="63"/>
    </row>
    <row r="430" spans="1:14" ht="12.75">
      <c r="A430" s="68"/>
      <c r="B430" s="74" t="s">
        <v>3267</v>
      </c>
      <c r="C430" s="63"/>
      <c r="D430" s="64" t="s">
        <v>3268</v>
      </c>
      <c r="E430" s="64" t="s">
        <v>3269</v>
      </c>
      <c r="F430" s="64" t="s">
        <v>1682</v>
      </c>
      <c r="G430" s="65" t="s">
        <v>2074</v>
      </c>
      <c r="H430" s="65" t="s">
        <v>3270</v>
      </c>
      <c r="I430" s="67"/>
      <c r="J430" s="65" t="s">
        <v>1682</v>
      </c>
      <c r="K430" s="65" t="s">
        <v>1837</v>
      </c>
      <c r="L430" s="65">
        <v>30469817</v>
      </c>
      <c r="M430" s="65"/>
      <c r="N430" s="63"/>
    </row>
    <row r="431" spans="1:14" ht="12.75">
      <c r="A431" s="68"/>
      <c r="B431" s="74" t="s">
        <v>3267</v>
      </c>
      <c r="C431" s="63"/>
      <c r="D431" s="64" t="s">
        <v>3271</v>
      </c>
      <c r="E431" s="64" t="s">
        <v>3272</v>
      </c>
      <c r="F431" s="64" t="s">
        <v>1663</v>
      </c>
      <c r="G431" s="65" t="s">
        <v>2040</v>
      </c>
      <c r="H431" s="65" t="s">
        <v>3273</v>
      </c>
      <c r="I431" s="65" t="s">
        <v>3274</v>
      </c>
      <c r="J431" s="65" t="s">
        <v>1667</v>
      </c>
      <c r="K431" s="65" t="s">
        <v>1668</v>
      </c>
      <c r="L431" s="65" t="s">
        <v>3275</v>
      </c>
      <c r="M431" s="65" t="s">
        <v>3276</v>
      </c>
      <c r="N431" s="63"/>
    </row>
    <row r="432" spans="1:14" ht="12.75">
      <c r="A432" s="68"/>
      <c r="B432" s="74" t="s">
        <v>3277</v>
      </c>
      <c r="C432" s="63"/>
      <c r="D432" s="64" t="s">
        <v>3278</v>
      </c>
      <c r="E432" s="64" t="s">
        <v>1381</v>
      </c>
      <c r="F432" s="64" t="s">
        <v>1682</v>
      </c>
      <c r="G432" s="65" t="s">
        <v>3279</v>
      </c>
      <c r="H432" s="65" t="s">
        <v>3280</v>
      </c>
      <c r="I432" s="67"/>
      <c r="J432" s="65" t="s">
        <v>2130</v>
      </c>
      <c r="K432" s="65" t="s">
        <v>3258</v>
      </c>
      <c r="L432" s="65" t="s">
        <v>3281</v>
      </c>
      <c r="M432" s="65"/>
      <c r="N432" s="63"/>
    </row>
    <row r="433" spans="1:14" ht="12.75">
      <c r="A433" s="68"/>
      <c r="B433" s="76" t="s">
        <v>3282</v>
      </c>
      <c r="C433" s="63"/>
      <c r="D433" s="64"/>
      <c r="E433" s="66"/>
      <c r="F433" s="66"/>
      <c r="G433" s="67"/>
      <c r="H433" s="67"/>
      <c r="I433" s="67"/>
      <c r="J433" s="67"/>
      <c r="K433" s="67"/>
      <c r="L433" s="65"/>
      <c r="M433" s="65"/>
      <c r="N433" s="63"/>
    </row>
    <row r="434" spans="1:14" ht="12.75">
      <c r="A434" s="68"/>
      <c r="B434" s="76" t="s">
        <v>3282</v>
      </c>
      <c r="C434" s="63"/>
      <c r="D434" s="64"/>
      <c r="E434" s="66"/>
      <c r="F434" s="66"/>
      <c r="G434" s="67"/>
      <c r="H434" s="67"/>
      <c r="I434" s="67"/>
      <c r="J434" s="67"/>
      <c r="K434" s="67"/>
      <c r="L434" s="65"/>
      <c r="M434" s="65"/>
      <c r="N434" s="63"/>
    </row>
    <row r="435" spans="1:14" ht="12.75">
      <c r="A435" s="68"/>
      <c r="B435" s="76" t="s">
        <v>3282</v>
      </c>
      <c r="C435" s="63"/>
      <c r="D435" s="64"/>
      <c r="E435" s="66"/>
      <c r="F435" s="66"/>
      <c r="G435" s="67"/>
      <c r="H435" s="67"/>
      <c r="I435" s="67"/>
      <c r="J435" s="67"/>
      <c r="K435" s="67"/>
      <c r="L435" s="65"/>
      <c r="M435" s="65"/>
      <c r="N435" s="63"/>
    </row>
    <row r="436" spans="1:14" ht="12.75">
      <c r="A436" s="68"/>
      <c r="B436" s="74" t="s">
        <v>3283</v>
      </c>
      <c r="C436" s="63"/>
      <c r="D436" s="64" t="s">
        <v>3284</v>
      </c>
      <c r="E436" s="64" t="s">
        <v>3285</v>
      </c>
      <c r="F436" s="64" t="s">
        <v>1673</v>
      </c>
      <c r="G436" s="65" t="s">
        <v>1673</v>
      </c>
      <c r="H436" s="65" t="s">
        <v>3286</v>
      </c>
      <c r="I436" s="65" t="s">
        <v>3287</v>
      </c>
      <c r="J436" s="65" t="s">
        <v>1673</v>
      </c>
      <c r="K436" s="65" t="s">
        <v>1677</v>
      </c>
      <c r="L436" s="65" t="s">
        <v>3288</v>
      </c>
      <c r="M436" s="65" t="s">
        <v>3289</v>
      </c>
      <c r="N436" s="63"/>
    </row>
    <row r="437" spans="1:14" ht="12.75">
      <c r="A437" s="68"/>
      <c r="B437" s="74" t="s">
        <v>3283</v>
      </c>
      <c r="C437" s="63"/>
      <c r="D437" s="64" t="s">
        <v>3290</v>
      </c>
      <c r="E437" s="64" t="s">
        <v>3291</v>
      </c>
      <c r="F437" s="64" t="s">
        <v>1663</v>
      </c>
      <c r="G437" s="65" t="s">
        <v>2040</v>
      </c>
      <c r="H437" s="65" t="s">
        <v>3292</v>
      </c>
      <c r="I437" s="65" t="s">
        <v>3293</v>
      </c>
      <c r="J437" s="65" t="s">
        <v>1667</v>
      </c>
      <c r="K437" s="65" t="s">
        <v>1668</v>
      </c>
      <c r="L437" s="65" t="s">
        <v>3294</v>
      </c>
      <c r="M437" s="65" t="s">
        <v>3295</v>
      </c>
      <c r="N437" s="63"/>
    </row>
    <row r="438" spans="1:14" ht="12.75">
      <c r="A438" s="68"/>
      <c r="B438" s="74" t="s">
        <v>3283</v>
      </c>
      <c r="C438" s="63"/>
      <c r="D438" s="64" t="s">
        <v>3296</v>
      </c>
      <c r="E438" s="64" t="s">
        <v>3297</v>
      </c>
      <c r="F438" s="64" t="s">
        <v>1673</v>
      </c>
      <c r="G438" s="65" t="s">
        <v>1673</v>
      </c>
      <c r="H438" s="65" t="s">
        <v>3298</v>
      </c>
      <c r="I438" s="65" t="s">
        <v>3299</v>
      </c>
      <c r="J438" s="65" t="s">
        <v>1673</v>
      </c>
      <c r="K438" s="65" t="s">
        <v>1677</v>
      </c>
      <c r="L438" s="65" t="s">
        <v>3300</v>
      </c>
      <c r="M438" s="65" t="s">
        <v>3301</v>
      </c>
      <c r="N438" s="63"/>
    </row>
    <row r="439" spans="1:14" ht="12.75">
      <c r="A439" s="68"/>
      <c r="B439" s="76" t="s">
        <v>3302</v>
      </c>
      <c r="C439" s="63"/>
      <c r="D439" s="64"/>
      <c r="E439" s="64"/>
      <c r="F439" s="64"/>
      <c r="G439" s="65"/>
      <c r="H439" s="65"/>
      <c r="I439" s="65"/>
      <c r="J439" s="65"/>
      <c r="K439" s="65"/>
      <c r="L439" s="65"/>
      <c r="M439" s="65"/>
      <c r="N439" s="63"/>
    </row>
    <row r="440" spans="1:14" ht="12.75">
      <c r="A440" s="68"/>
      <c r="B440" s="76" t="s">
        <v>3302</v>
      </c>
      <c r="C440" s="63"/>
      <c r="D440" s="64"/>
      <c r="E440" s="64"/>
      <c r="F440" s="64"/>
      <c r="G440" s="65"/>
      <c r="H440" s="65"/>
      <c r="I440" s="65"/>
      <c r="J440" s="65"/>
      <c r="K440" s="65"/>
      <c r="L440" s="65"/>
      <c r="M440" s="65"/>
      <c r="N440" s="63"/>
    </row>
    <row r="441" spans="1:14" ht="12.75">
      <c r="A441" s="68"/>
      <c r="B441" s="76" t="s">
        <v>3302</v>
      </c>
      <c r="C441" s="63"/>
      <c r="D441" s="64"/>
      <c r="E441" s="64"/>
      <c r="F441" s="64"/>
      <c r="G441" s="65"/>
      <c r="H441" s="65"/>
      <c r="I441" s="65"/>
      <c r="J441" s="65"/>
      <c r="K441" s="65"/>
      <c r="L441" s="65"/>
      <c r="M441" s="65"/>
      <c r="N441" s="63"/>
    </row>
    <row r="442" spans="1:14" ht="12.75">
      <c r="A442" s="68"/>
      <c r="B442" s="74" t="s">
        <v>3303</v>
      </c>
      <c r="C442" s="63"/>
      <c r="D442" s="64" t="s">
        <v>3304</v>
      </c>
      <c r="E442" s="66" t="s">
        <v>3305</v>
      </c>
      <c r="F442" s="64" t="s">
        <v>1663</v>
      </c>
      <c r="G442" s="65" t="s">
        <v>1664</v>
      </c>
      <c r="H442" s="65" t="s">
        <v>3306</v>
      </c>
      <c r="I442" s="65" t="s">
        <v>3307</v>
      </c>
      <c r="J442" s="65" t="s">
        <v>1667</v>
      </c>
      <c r="K442" s="65" t="s">
        <v>1668</v>
      </c>
      <c r="L442" s="65" t="s">
        <v>3308</v>
      </c>
      <c r="M442" s="65" t="s">
        <v>3309</v>
      </c>
      <c r="N442" s="63"/>
    </row>
    <row r="443" spans="1:14" ht="12.75">
      <c r="A443" s="68"/>
      <c r="B443" s="74" t="s">
        <v>3303</v>
      </c>
      <c r="C443" s="63"/>
      <c r="D443" s="64" t="s">
        <v>3310</v>
      </c>
      <c r="E443" s="66" t="s">
        <v>3311</v>
      </c>
      <c r="F443" s="64"/>
      <c r="G443" s="65"/>
      <c r="H443" s="65"/>
      <c r="I443" s="65"/>
      <c r="J443" s="65"/>
      <c r="K443" s="65"/>
      <c r="L443" s="65"/>
      <c r="M443" s="65"/>
      <c r="N443" s="63"/>
    </row>
    <row r="444" spans="1:14" ht="12.75">
      <c r="A444" s="68"/>
      <c r="B444" s="74" t="s">
        <v>3303</v>
      </c>
      <c r="C444" s="63"/>
      <c r="D444" s="64" t="s">
        <v>2037</v>
      </c>
      <c r="E444" s="66"/>
      <c r="F444" s="64"/>
      <c r="G444" s="65"/>
      <c r="H444" s="65"/>
      <c r="I444" s="65"/>
      <c r="J444" s="65"/>
      <c r="K444" s="65"/>
      <c r="L444" s="65"/>
      <c r="M444" s="65"/>
      <c r="N444" s="63"/>
    </row>
    <row r="445" spans="1:14" ht="12.75">
      <c r="A445" s="68"/>
      <c r="B445" s="74" t="s">
        <v>3303</v>
      </c>
      <c r="C445" s="63"/>
      <c r="D445" s="64" t="s">
        <v>2037</v>
      </c>
      <c r="E445" s="66"/>
      <c r="F445" s="64"/>
      <c r="G445" s="65"/>
      <c r="H445" s="65"/>
      <c r="I445" s="65"/>
      <c r="J445" s="65"/>
      <c r="K445" s="65"/>
      <c r="L445" s="65"/>
      <c r="M445" s="65"/>
      <c r="N445" s="63"/>
    </row>
    <row r="446" spans="1:14" ht="12.75">
      <c r="A446" s="68"/>
      <c r="B446" s="76" t="s">
        <v>3312</v>
      </c>
      <c r="C446" s="63"/>
      <c r="D446" s="64"/>
      <c r="E446" s="64"/>
      <c r="F446" s="66"/>
      <c r="G446" s="67"/>
      <c r="H446" s="67"/>
      <c r="I446" s="67"/>
      <c r="J446" s="67"/>
      <c r="K446" s="67"/>
      <c r="L446" s="65"/>
      <c r="M446" s="65"/>
      <c r="N446" s="63"/>
    </row>
    <row r="447" spans="1:14" ht="12.75">
      <c r="A447" s="68"/>
      <c r="B447" s="76" t="s">
        <v>3312</v>
      </c>
      <c r="C447" s="63"/>
      <c r="D447" s="64"/>
      <c r="E447" s="64"/>
      <c r="F447" s="66"/>
      <c r="G447" s="67"/>
      <c r="H447" s="67"/>
      <c r="I447" s="67"/>
      <c r="J447" s="67"/>
      <c r="K447" s="67"/>
      <c r="L447" s="65"/>
      <c r="M447" s="65"/>
      <c r="N447" s="63"/>
    </row>
    <row r="448" spans="1:14" ht="12.75">
      <c r="A448" s="68"/>
      <c r="B448" s="76" t="s">
        <v>3312</v>
      </c>
      <c r="C448" s="63"/>
      <c r="D448" s="64"/>
      <c r="E448" s="64"/>
      <c r="F448" s="66"/>
      <c r="G448" s="67"/>
      <c r="H448" s="67"/>
      <c r="I448" s="67"/>
      <c r="J448" s="67"/>
      <c r="K448" s="67"/>
      <c r="L448" s="65"/>
      <c r="M448" s="65"/>
      <c r="N448" s="63"/>
    </row>
    <row r="449" spans="1:14" ht="12.75">
      <c r="A449" s="68"/>
      <c r="B449" s="74" t="s">
        <v>3313</v>
      </c>
      <c r="C449" s="63"/>
      <c r="D449" s="64" t="s">
        <v>3314</v>
      </c>
      <c r="E449" s="64" t="s">
        <v>3315</v>
      </c>
      <c r="F449" s="64" t="s">
        <v>1818</v>
      </c>
      <c r="G449" s="65" t="s">
        <v>1819</v>
      </c>
      <c r="H449" s="84" t="s">
        <v>3316</v>
      </c>
      <c r="I449" s="67" t="s">
        <v>3317</v>
      </c>
      <c r="J449" s="65" t="s">
        <v>1682</v>
      </c>
      <c r="K449" s="67" t="s">
        <v>3318</v>
      </c>
      <c r="L449" s="65">
        <v>10804104</v>
      </c>
      <c r="M449" s="65" t="s">
        <v>1687</v>
      </c>
      <c r="N449" s="63"/>
    </row>
    <row r="450" spans="1:14" ht="12.75">
      <c r="A450" s="68"/>
      <c r="B450" s="74" t="s">
        <v>3313</v>
      </c>
      <c r="C450" s="63"/>
      <c r="D450" s="64" t="s">
        <v>3319</v>
      </c>
      <c r="E450" s="64" t="s">
        <v>3320</v>
      </c>
      <c r="F450" s="64" t="s">
        <v>1663</v>
      </c>
      <c r="G450" s="65" t="s">
        <v>1664</v>
      </c>
      <c r="H450" s="67" t="s">
        <v>3321</v>
      </c>
      <c r="I450" s="67" t="s">
        <v>3322</v>
      </c>
      <c r="J450" s="65" t="s">
        <v>1667</v>
      </c>
      <c r="K450" s="65" t="s">
        <v>1668</v>
      </c>
      <c r="L450" s="65" t="s">
        <v>3323</v>
      </c>
      <c r="M450" s="65" t="s">
        <v>3324</v>
      </c>
      <c r="N450" s="63"/>
    </row>
    <row r="451" spans="1:14" ht="12.75">
      <c r="A451" s="68"/>
      <c r="B451" s="74" t="s">
        <v>3313</v>
      </c>
      <c r="C451" s="63"/>
      <c r="D451" s="64" t="s">
        <v>3325</v>
      </c>
      <c r="E451" s="64" t="s">
        <v>3326</v>
      </c>
      <c r="F451" s="64" t="s">
        <v>1673</v>
      </c>
      <c r="G451" s="65" t="s">
        <v>1674</v>
      </c>
      <c r="H451" s="65" t="s">
        <v>3327</v>
      </c>
      <c r="I451" s="65" t="s">
        <v>3328</v>
      </c>
      <c r="J451" s="65" t="s">
        <v>1673</v>
      </c>
      <c r="K451" s="67" t="s">
        <v>1928</v>
      </c>
      <c r="L451" s="65" t="s">
        <v>3329</v>
      </c>
      <c r="M451" s="65" t="s">
        <v>3330</v>
      </c>
      <c r="N451" s="63"/>
    </row>
    <row r="452" spans="1:14" ht="12.75">
      <c r="A452" s="68"/>
      <c r="B452" s="74" t="s">
        <v>3313</v>
      </c>
      <c r="C452" s="63"/>
      <c r="D452" s="64" t="s">
        <v>3331</v>
      </c>
      <c r="E452" s="64" t="s">
        <v>3332</v>
      </c>
      <c r="F452" s="64" t="s">
        <v>1682</v>
      </c>
      <c r="G452" s="65" t="s">
        <v>2074</v>
      </c>
      <c r="H452" s="65" t="s">
        <v>3333</v>
      </c>
      <c r="I452" s="65" t="s">
        <v>3334</v>
      </c>
      <c r="J452" s="65" t="s">
        <v>1682</v>
      </c>
      <c r="K452" s="65" t="s">
        <v>2156</v>
      </c>
      <c r="L452" s="65" t="s">
        <v>3335</v>
      </c>
      <c r="M452" s="65" t="s">
        <v>3336</v>
      </c>
      <c r="N452" s="63"/>
    </row>
    <row r="453" spans="1:14" ht="12.75">
      <c r="A453" s="68"/>
      <c r="B453" s="76" t="s">
        <v>3337</v>
      </c>
      <c r="C453" s="63"/>
      <c r="D453" s="64"/>
      <c r="E453" s="64"/>
      <c r="F453" s="66"/>
      <c r="G453" s="67"/>
      <c r="H453" s="67"/>
      <c r="I453" s="67"/>
      <c r="J453" s="67"/>
      <c r="K453" s="67"/>
      <c r="L453" s="65"/>
      <c r="M453" s="65"/>
      <c r="N453" s="63"/>
    </row>
    <row r="454" spans="1:14" ht="12.75">
      <c r="A454" s="68"/>
      <c r="B454" s="76" t="s">
        <v>3337</v>
      </c>
      <c r="C454" s="63"/>
      <c r="D454" s="64"/>
      <c r="E454" s="64"/>
      <c r="F454" s="66"/>
      <c r="G454" s="67"/>
      <c r="H454" s="67"/>
      <c r="I454" s="67"/>
      <c r="J454" s="67"/>
      <c r="K454" s="67"/>
      <c r="L454" s="65"/>
      <c r="M454" s="65"/>
      <c r="N454" s="63"/>
    </row>
    <row r="455" spans="1:14" ht="12.75">
      <c r="A455" s="68"/>
      <c r="B455" s="76" t="s">
        <v>3337</v>
      </c>
      <c r="C455" s="63"/>
      <c r="D455" s="64"/>
      <c r="E455" s="64"/>
      <c r="F455" s="66"/>
      <c r="G455" s="67"/>
      <c r="H455" s="67"/>
      <c r="I455" s="67"/>
      <c r="J455" s="67"/>
      <c r="K455" s="67"/>
      <c r="L455" s="65"/>
      <c r="M455" s="65"/>
      <c r="N455" s="63"/>
    </row>
    <row r="456" spans="1:14" ht="12.75">
      <c r="A456" s="68"/>
      <c r="B456" s="76" t="s">
        <v>3337</v>
      </c>
      <c r="C456" s="63"/>
      <c r="D456" s="64"/>
      <c r="E456" s="64"/>
      <c r="F456" s="66"/>
      <c r="G456" s="67"/>
      <c r="H456" s="67"/>
      <c r="I456" s="67"/>
      <c r="J456" s="67"/>
      <c r="K456" s="67"/>
      <c r="L456" s="65"/>
      <c r="M456" s="65"/>
      <c r="N456" s="63"/>
    </row>
    <row r="457" spans="1:14" ht="12.75">
      <c r="A457" s="68"/>
      <c r="B457" s="76" t="s">
        <v>3337</v>
      </c>
      <c r="C457" s="63"/>
      <c r="D457" s="64"/>
      <c r="E457" s="64"/>
      <c r="F457" s="66"/>
      <c r="G457" s="67"/>
      <c r="H457" s="67"/>
      <c r="I457" s="67"/>
      <c r="J457" s="67"/>
      <c r="K457" s="67"/>
      <c r="L457" s="65"/>
      <c r="M457" s="65"/>
      <c r="N457" s="63"/>
    </row>
    <row r="458" spans="1:14" ht="12.75">
      <c r="A458" s="68"/>
      <c r="B458" s="74" t="s">
        <v>3338</v>
      </c>
      <c r="C458" s="63"/>
      <c r="D458" s="64" t="s">
        <v>3339</v>
      </c>
      <c r="E458" s="64" t="s">
        <v>3340</v>
      </c>
      <c r="F458" s="64" t="s">
        <v>1673</v>
      </c>
      <c r="G458" s="65" t="s">
        <v>1674</v>
      </c>
      <c r="H458" s="67" t="s">
        <v>3341</v>
      </c>
      <c r="I458" s="67" t="s">
        <v>3342</v>
      </c>
      <c r="J458" s="67" t="s">
        <v>1673</v>
      </c>
      <c r="K458" s="65" t="s">
        <v>1928</v>
      </c>
      <c r="L458" s="65" t="s">
        <v>3343</v>
      </c>
      <c r="M458" s="65" t="s">
        <v>3344</v>
      </c>
      <c r="N458" s="63"/>
    </row>
    <row r="459" spans="1:14" ht="12.75">
      <c r="A459" s="68"/>
      <c r="B459" s="74" t="s">
        <v>3338</v>
      </c>
      <c r="C459" s="63"/>
      <c r="D459" s="64" t="s">
        <v>3345</v>
      </c>
      <c r="E459" s="64" t="s">
        <v>3346</v>
      </c>
      <c r="F459" s="66" t="s">
        <v>1673</v>
      </c>
      <c r="G459" s="67" t="s">
        <v>1674</v>
      </c>
      <c r="H459" s="67" t="s">
        <v>3347</v>
      </c>
      <c r="I459" s="67" t="s">
        <v>3348</v>
      </c>
      <c r="J459" s="67" t="s">
        <v>1673</v>
      </c>
      <c r="K459" s="67" t="s">
        <v>1928</v>
      </c>
      <c r="L459" s="65" t="s">
        <v>3349</v>
      </c>
      <c r="M459" s="65" t="s">
        <v>3350</v>
      </c>
      <c r="N459" s="63"/>
    </row>
    <row r="460" spans="1:14" ht="12.75">
      <c r="A460" s="68"/>
      <c r="B460" s="74" t="s">
        <v>3338</v>
      </c>
      <c r="C460" s="63"/>
      <c r="D460" s="64" t="s">
        <v>3351</v>
      </c>
      <c r="E460" s="66" t="s">
        <v>3352</v>
      </c>
      <c r="F460" s="64" t="s">
        <v>1673</v>
      </c>
      <c r="G460" s="65" t="s">
        <v>1674</v>
      </c>
      <c r="H460" s="67" t="s">
        <v>3353</v>
      </c>
      <c r="I460" s="67" t="s">
        <v>3354</v>
      </c>
      <c r="J460" s="67" t="s">
        <v>1673</v>
      </c>
      <c r="K460" s="65" t="s">
        <v>1928</v>
      </c>
      <c r="L460" s="65" t="s">
        <v>3355</v>
      </c>
      <c r="M460" s="65" t="s">
        <v>3356</v>
      </c>
      <c r="N460" s="63"/>
    </row>
    <row r="461" spans="1:14" ht="12.75">
      <c r="A461" s="68"/>
      <c r="B461" s="74" t="s">
        <v>3338</v>
      </c>
      <c r="C461" s="63"/>
      <c r="D461" s="64" t="s">
        <v>3357</v>
      </c>
      <c r="E461" s="64" t="s">
        <v>3358</v>
      </c>
      <c r="F461" s="66" t="s">
        <v>1663</v>
      </c>
      <c r="G461" s="67" t="s">
        <v>1664</v>
      </c>
      <c r="H461" s="65" t="s">
        <v>3359</v>
      </c>
      <c r="I461" s="65" t="s">
        <v>3360</v>
      </c>
      <c r="J461" s="67" t="s">
        <v>1663</v>
      </c>
      <c r="K461" s="65" t="s">
        <v>1668</v>
      </c>
      <c r="L461" s="65" t="s">
        <v>3361</v>
      </c>
      <c r="M461" s="65" t="s">
        <v>3362</v>
      </c>
      <c r="N461" s="63"/>
    </row>
    <row r="462" spans="1:14" ht="12.75">
      <c r="A462" s="68"/>
      <c r="B462" s="74" t="s">
        <v>3338</v>
      </c>
      <c r="C462" s="63"/>
      <c r="D462" s="64"/>
      <c r="E462" s="64"/>
      <c r="F462" s="64"/>
      <c r="G462" s="65"/>
      <c r="H462" s="67"/>
      <c r="I462" s="67"/>
      <c r="J462" s="67"/>
      <c r="K462" s="65"/>
      <c r="L462" s="65"/>
      <c r="M462" s="65"/>
      <c r="N462" s="63"/>
    </row>
    <row r="463" spans="1:14" ht="12.75">
      <c r="A463" s="68"/>
      <c r="B463" s="76" t="s">
        <v>3363</v>
      </c>
      <c r="C463" s="63"/>
      <c r="D463" s="64"/>
      <c r="E463" s="64"/>
      <c r="F463" s="66"/>
      <c r="G463" s="67"/>
      <c r="H463" s="67"/>
      <c r="I463" s="67"/>
      <c r="J463" s="67"/>
      <c r="K463" s="67"/>
      <c r="L463" s="65"/>
      <c r="M463" s="65"/>
      <c r="N463" s="63"/>
    </row>
    <row r="464" spans="1:14" ht="12.75">
      <c r="A464" s="68"/>
      <c r="B464" s="76" t="s">
        <v>3363</v>
      </c>
      <c r="C464" s="63"/>
      <c r="D464" s="64"/>
      <c r="E464" s="64"/>
      <c r="F464" s="66"/>
      <c r="G464" s="67"/>
      <c r="H464" s="67"/>
      <c r="I464" s="67"/>
      <c r="J464" s="67"/>
      <c r="K464" s="67"/>
      <c r="L464" s="65"/>
      <c r="M464" s="65"/>
      <c r="N464" s="63"/>
    </row>
    <row r="465" spans="1:14" ht="12.75">
      <c r="A465" s="68"/>
      <c r="B465" s="76" t="s">
        <v>3363</v>
      </c>
      <c r="C465" s="63"/>
      <c r="D465" s="64"/>
      <c r="E465" s="64"/>
      <c r="F465" s="66"/>
      <c r="G465" s="67"/>
      <c r="H465" s="67"/>
      <c r="I465" s="67"/>
      <c r="J465" s="67"/>
      <c r="K465" s="67"/>
      <c r="L465" s="65"/>
      <c r="M465" s="65"/>
      <c r="N465" s="63"/>
    </row>
    <row r="466" spans="1:14" ht="12.75">
      <c r="A466" s="68"/>
      <c r="B466" s="74" t="s">
        <v>3364</v>
      </c>
      <c r="C466" s="63"/>
      <c r="D466" s="64" t="s">
        <v>3365</v>
      </c>
      <c r="E466" s="64" t="s">
        <v>3366</v>
      </c>
      <c r="F466" s="64" t="s">
        <v>1663</v>
      </c>
      <c r="G466" s="65" t="s">
        <v>3367</v>
      </c>
      <c r="H466" s="65" t="s">
        <v>3368</v>
      </c>
      <c r="I466" s="65" t="s">
        <v>3369</v>
      </c>
      <c r="J466" s="65" t="s">
        <v>1667</v>
      </c>
      <c r="K466" s="65" t="s">
        <v>1668</v>
      </c>
      <c r="L466" s="65" t="s">
        <v>3370</v>
      </c>
      <c r="M466" s="65" t="s">
        <v>3371</v>
      </c>
      <c r="N466" s="63"/>
    </row>
    <row r="467" spans="1:14" ht="12.75">
      <c r="A467" s="68"/>
      <c r="B467" s="74" t="s">
        <v>3364</v>
      </c>
      <c r="C467" s="63"/>
      <c r="D467" s="64" t="s">
        <v>3372</v>
      </c>
      <c r="E467" s="64" t="s">
        <v>3373</v>
      </c>
      <c r="F467" s="64" t="s">
        <v>1682</v>
      </c>
      <c r="G467" s="65" t="s">
        <v>1683</v>
      </c>
      <c r="H467" s="65" t="s">
        <v>3374</v>
      </c>
      <c r="I467" s="65" t="s">
        <v>1687</v>
      </c>
      <c r="J467" s="65" t="s">
        <v>1682</v>
      </c>
      <c r="K467" s="65" t="s">
        <v>1837</v>
      </c>
      <c r="L467" s="65">
        <v>30473405</v>
      </c>
      <c r="M467" s="65" t="s">
        <v>1687</v>
      </c>
      <c r="N467" s="63"/>
    </row>
    <row r="468" spans="1:14" ht="12.75">
      <c r="A468" s="68"/>
      <c r="B468" s="74" t="s">
        <v>3364</v>
      </c>
      <c r="C468" s="63"/>
      <c r="D468" s="64" t="s">
        <v>3375</v>
      </c>
      <c r="E468" s="64" t="s">
        <v>3376</v>
      </c>
      <c r="F468" s="64" t="s">
        <v>1682</v>
      </c>
      <c r="G468" s="65" t="s">
        <v>1683</v>
      </c>
      <c r="H468" s="65" t="s">
        <v>3377</v>
      </c>
      <c r="I468" s="65" t="s">
        <v>1687</v>
      </c>
      <c r="J468" s="65" t="s">
        <v>1682</v>
      </c>
      <c r="K468" s="65" t="s">
        <v>3378</v>
      </c>
      <c r="L468" s="65" t="s">
        <v>3379</v>
      </c>
      <c r="M468" s="65" t="s">
        <v>3380</v>
      </c>
      <c r="N468" s="63"/>
    </row>
    <row r="469" spans="1:14" ht="12.75">
      <c r="A469" s="68"/>
      <c r="B469" s="74" t="s">
        <v>3364</v>
      </c>
      <c r="C469" s="63"/>
      <c r="D469" s="64" t="s">
        <v>3381</v>
      </c>
      <c r="E469" s="64" t="s">
        <v>3382</v>
      </c>
      <c r="F469" s="64" t="s">
        <v>1673</v>
      </c>
      <c r="G469" s="65" t="s">
        <v>1674</v>
      </c>
      <c r="H469" s="65" t="s">
        <v>3383</v>
      </c>
      <c r="I469" s="65" t="s">
        <v>3384</v>
      </c>
      <c r="J469" s="65" t="s">
        <v>1673</v>
      </c>
      <c r="K469" s="65" t="s">
        <v>1928</v>
      </c>
      <c r="L469" s="65" t="s">
        <v>3385</v>
      </c>
      <c r="M469" s="65" t="s">
        <v>3386</v>
      </c>
      <c r="N469" s="63"/>
    </row>
    <row r="470" spans="1:14" ht="12.75">
      <c r="A470" s="68"/>
      <c r="B470" s="74" t="s">
        <v>3387</v>
      </c>
      <c r="C470" s="63"/>
      <c r="D470" s="64" t="s">
        <v>3388</v>
      </c>
      <c r="E470" s="64" t="s">
        <v>3389</v>
      </c>
      <c r="F470" s="64" t="s">
        <v>1682</v>
      </c>
      <c r="G470" s="65" t="s">
        <v>2476</v>
      </c>
      <c r="H470" s="65" t="s">
        <v>3390</v>
      </c>
      <c r="I470" s="65" t="s">
        <v>1687</v>
      </c>
      <c r="J470" s="65" t="s">
        <v>2130</v>
      </c>
      <c r="K470" s="65" t="s">
        <v>3391</v>
      </c>
      <c r="L470" s="65" t="s">
        <v>3392</v>
      </c>
      <c r="M470" s="65" t="s">
        <v>1687</v>
      </c>
      <c r="N470" s="63"/>
    </row>
    <row r="471" spans="1:14" ht="12.75">
      <c r="A471" s="68"/>
      <c r="B471" s="74" t="s">
        <v>3364</v>
      </c>
      <c r="C471" s="63"/>
      <c r="D471" s="64" t="s">
        <v>3393</v>
      </c>
      <c r="E471" s="64" t="s">
        <v>3394</v>
      </c>
      <c r="F471" s="64" t="s">
        <v>1673</v>
      </c>
      <c r="G471" s="65" t="s">
        <v>1674</v>
      </c>
      <c r="H471" s="65" t="s">
        <v>3395</v>
      </c>
      <c r="I471" s="65" t="s">
        <v>3396</v>
      </c>
      <c r="J471" s="65" t="s">
        <v>1673</v>
      </c>
      <c r="K471" s="65" t="s">
        <v>1928</v>
      </c>
      <c r="L471" s="65" t="s">
        <v>3397</v>
      </c>
      <c r="M471" s="65" t="s">
        <v>3398</v>
      </c>
      <c r="N471" s="63"/>
    </row>
    <row r="472" spans="1:14" ht="12.75">
      <c r="A472" s="68"/>
      <c r="B472" s="76" t="s">
        <v>3399</v>
      </c>
      <c r="C472" s="63"/>
      <c r="D472" s="64"/>
      <c r="E472" s="64"/>
      <c r="F472" s="66"/>
      <c r="G472" s="67"/>
      <c r="H472" s="67"/>
      <c r="I472" s="67"/>
      <c r="J472" s="67"/>
      <c r="K472" s="67"/>
      <c r="L472" s="65"/>
      <c r="M472" s="65"/>
      <c r="N472" s="63"/>
    </row>
    <row r="473" spans="1:14" ht="12.75">
      <c r="A473" s="68"/>
      <c r="B473" s="76" t="s">
        <v>3399</v>
      </c>
      <c r="C473" s="63"/>
      <c r="D473" s="64"/>
      <c r="E473" s="64"/>
      <c r="F473" s="66"/>
      <c r="G473" s="67"/>
      <c r="H473" s="67"/>
      <c r="I473" s="67"/>
      <c r="J473" s="67"/>
      <c r="K473" s="67"/>
      <c r="L473" s="65"/>
      <c r="M473" s="65"/>
      <c r="N473" s="63"/>
    </row>
    <row r="474" spans="1:14" ht="12.75">
      <c r="A474" s="68"/>
      <c r="B474" s="76" t="s">
        <v>3399</v>
      </c>
      <c r="C474" s="63"/>
      <c r="D474" s="64"/>
      <c r="E474" s="64"/>
      <c r="F474" s="66"/>
      <c r="G474" s="67"/>
      <c r="H474" s="67"/>
      <c r="I474" s="67"/>
      <c r="J474" s="67"/>
      <c r="K474" s="67"/>
      <c r="L474" s="65"/>
      <c r="M474" s="65"/>
      <c r="N474" s="63"/>
    </row>
    <row r="475" spans="1:14" ht="12.75">
      <c r="A475" s="68"/>
      <c r="B475" s="74" t="s">
        <v>3364</v>
      </c>
      <c r="C475" s="63"/>
      <c r="D475" s="64" t="s">
        <v>3400</v>
      </c>
      <c r="E475" s="64" t="s">
        <v>3401</v>
      </c>
      <c r="F475" s="64" t="s">
        <v>3402</v>
      </c>
      <c r="G475" s="65" t="s">
        <v>3403</v>
      </c>
      <c r="H475" s="65">
        <v>4003476900018</v>
      </c>
      <c r="I475" s="65"/>
      <c r="J475" s="65"/>
      <c r="K475" s="65"/>
      <c r="L475" s="65"/>
      <c r="M475" s="65"/>
      <c r="N475" s="63"/>
    </row>
    <row r="476" spans="1:14" ht="12.75">
      <c r="A476" s="68"/>
      <c r="B476" s="74" t="s">
        <v>3404</v>
      </c>
      <c r="C476" s="63"/>
      <c r="D476" s="64" t="s">
        <v>3405</v>
      </c>
      <c r="E476" s="64" t="s">
        <v>3406</v>
      </c>
      <c r="F476" s="64" t="s">
        <v>1673</v>
      </c>
      <c r="G476" s="65" t="s">
        <v>1674</v>
      </c>
      <c r="H476" s="65" t="s">
        <v>3407</v>
      </c>
      <c r="I476" s="65" t="s">
        <v>3408</v>
      </c>
      <c r="J476" s="65" t="s">
        <v>1673</v>
      </c>
      <c r="K476" s="65" t="s">
        <v>1928</v>
      </c>
      <c r="L476" s="65" t="s">
        <v>3409</v>
      </c>
      <c r="M476" s="65" t="s">
        <v>3410</v>
      </c>
      <c r="N476" s="63"/>
    </row>
    <row r="477" spans="1:14" ht="12.75">
      <c r="A477" s="68"/>
      <c r="B477" s="74" t="s">
        <v>3404</v>
      </c>
      <c r="C477" s="63"/>
      <c r="D477" s="64" t="s">
        <v>3411</v>
      </c>
      <c r="E477" s="64" t="s">
        <v>3412</v>
      </c>
      <c r="F477" s="64" t="s">
        <v>1682</v>
      </c>
      <c r="G477" s="65" t="s">
        <v>1683</v>
      </c>
      <c r="H477" s="65" t="s">
        <v>3413</v>
      </c>
      <c r="I477" s="65" t="s">
        <v>3414</v>
      </c>
      <c r="J477" s="65" t="s">
        <v>2130</v>
      </c>
      <c r="K477" s="65" t="s">
        <v>2131</v>
      </c>
      <c r="L477" s="65" t="s">
        <v>3415</v>
      </c>
      <c r="M477" s="65" t="s">
        <v>1687</v>
      </c>
      <c r="N477" s="63"/>
    </row>
    <row r="478" spans="1:14" ht="12.75">
      <c r="A478" s="68"/>
      <c r="B478" s="74" t="s">
        <v>3404</v>
      </c>
      <c r="C478" s="63"/>
      <c r="D478" s="64" t="s">
        <v>3416</v>
      </c>
      <c r="E478" s="64" t="s">
        <v>3417</v>
      </c>
      <c r="F478" s="64" t="s">
        <v>1663</v>
      </c>
      <c r="G478" s="65" t="s">
        <v>1664</v>
      </c>
      <c r="H478" s="65" t="s">
        <v>3418</v>
      </c>
      <c r="I478" s="65" t="s">
        <v>3419</v>
      </c>
      <c r="J478" s="65" t="s">
        <v>1667</v>
      </c>
      <c r="K478" s="65" t="s">
        <v>1668</v>
      </c>
      <c r="L478" s="65" t="s">
        <v>3420</v>
      </c>
      <c r="M478" s="65" t="s">
        <v>3421</v>
      </c>
      <c r="N478" s="63"/>
    </row>
    <row r="479" spans="1:14" ht="12.75">
      <c r="A479" s="68"/>
      <c r="B479" s="74" t="s">
        <v>3404</v>
      </c>
      <c r="C479" s="63"/>
      <c r="D479" s="64" t="s">
        <v>3422</v>
      </c>
      <c r="E479" s="64" t="s">
        <v>3423</v>
      </c>
      <c r="F479" s="64" t="s">
        <v>1673</v>
      </c>
      <c r="G479" s="65" t="s">
        <v>1674</v>
      </c>
      <c r="H479" s="65" t="s">
        <v>3424</v>
      </c>
      <c r="I479" s="65" t="s">
        <v>3425</v>
      </c>
      <c r="J479" s="65" t="s">
        <v>1673</v>
      </c>
      <c r="K479" s="65" t="s">
        <v>1928</v>
      </c>
      <c r="L479" s="65" t="s">
        <v>3426</v>
      </c>
      <c r="M479" s="65" t="s">
        <v>3427</v>
      </c>
      <c r="N479" s="63"/>
    </row>
    <row r="480" spans="1:14" ht="12.75">
      <c r="A480" s="68"/>
      <c r="B480" s="74" t="s">
        <v>3404</v>
      </c>
      <c r="C480" s="63"/>
      <c r="D480" s="64"/>
      <c r="E480" s="64"/>
      <c r="F480" s="64"/>
      <c r="G480" s="65"/>
      <c r="H480" s="65"/>
      <c r="I480" s="65"/>
      <c r="J480" s="65"/>
      <c r="K480" s="65"/>
      <c r="L480" s="65"/>
      <c r="M480" s="65"/>
      <c r="N480" s="63"/>
    </row>
    <row r="481" spans="1:14" ht="12.75">
      <c r="A481" s="68"/>
      <c r="B481" s="76" t="s">
        <v>3428</v>
      </c>
      <c r="C481" s="63"/>
      <c r="D481" s="64"/>
      <c r="E481" s="66"/>
      <c r="F481" s="66"/>
      <c r="G481" s="67"/>
      <c r="H481" s="67"/>
      <c r="I481" s="67"/>
      <c r="J481" s="67"/>
      <c r="K481" s="67"/>
      <c r="L481" s="65"/>
      <c r="M481" s="65"/>
      <c r="N481" s="63"/>
    </row>
    <row r="482" spans="1:14" ht="12.75">
      <c r="A482" s="68"/>
      <c r="B482" s="76" t="s">
        <v>3428</v>
      </c>
      <c r="C482" s="63"/>
      <c r="D482" s="64"/>
      <c r="E482" s="66"/>
      <c r="F482" s="66"/>
      <c r="G482" s="67"/>
      <c r="H482" s="67"/>
      <c r="I482" s="67"/>
      <c r="J482" s="67"/>
      <c r="K482" s="67"/>
      <c r="L482" s="65"/>
      <c r="M482" s="65"/>
      <c r="N482" s="63"/>
    </row>
    <row r="483" spans="1:14" ht="12.75">
      <c r="A483" s="68"/>
      <c r="B483" s="76" t="s">
        <v>3428</v>
      </c>
      <c r="C483" s="63"/>
      <c r="D483" s="64"/>
      <c r="E483" s="66"/>
      <c r="F483" s="66"/>
      <c r="G483" s="67"/>
      <c r="H483" s="67"/>
      <c r="I483" s="67"/>
      <c r="J483" s="67"/>
      <c r="K483" s="67"/>
      <c r="L483" s="65"/>
      <c r="M483" s="65"/>
      <c r="N483" s="63"/>
    </row>
    <row r="484" spans="1:14" ht="12.75">
      <c r="A484" s="68"/>
      <c r="B484" s="74" t="s">
        <v>3429</v>
      </c>
      <c r="C484" s="63"/>
      <c r="D484" s="64" t="s">
        <v>3430</v>
      </c>
      <c r="E484" s="64" t="s">
        <v>3431</v>
      </c>
      <c r="F484" s="64" t="s">
        <v>1663</v>
      </c>
      <c r="G484" s="65" t="s">
        <v>1664</v>
      </c>
      <c r="H484" s="65" t="s">
        <v>3432</v>
      </c>
      <c r="I484" s="65" t="s">
        <v>3433</v>
      </c>
      <c r="J484" s="65" t="s">
        <v>1667</v>
      </c>
      <c r="K484" s="65" t="s">
        <v>1668</v>
      </c>
      <c r="L484" s="65" t="s">
        <v>3434</v>
      </c>
      <c r="M484" s="65" t="s">
        <v>3435</v>
      </c>
      <c r="N484" s="63"/>
    </row>
    <row r="485" spans="1:14" ht="12.75">
      <c r="A485" s="68"/>
      <c r="B485" s="74" t="s">
        <v>3429</v>
      </c>
      <c r="C485" s="63"/>
      <c r="D485" s="64" t="s">
        <v>3436</v>
      </c>
      <c r="E485" s="64" t="s">
        <v>3437</v>
      </c>
      <c r="F485" s="64" t="s">
        <v>1673</v>
      </c>
      <c r="G485" s="65" t="s">
        <v>1674</v>
      </c>
      <c r="H485" s="65" t="s">
        <v>3438</v>
      </c>
      <c r="I485" s="65" t="s">
        <v>3439</v>
      </c>
      <c r="J485" s="65" t="s">
        <v>1673</v>
      </c>
      <c r="K485" s="65" t="s">
        <v>1928</v>
      </c>
      <c r="L485" s="65" t="s">
        <v>3440</v>
      </c>
      <c r="M485" s="65" t="s">
        <v>3441</v>
      </c>
      <c r="N485" s="63"/>
    </row>
    <row r="486" spans="1:14" ht="12.75">
      <c r="A486" s="68"/>
      <c r="B486" s="74" t="s">
        <v>3429</v>
      </c>
      <c r="C486" s="63"/>
      <c r="D486" s="64" t="s">
        <v>3442</v>
      </c>
      <c r="E486" s="64" t="s">
        <v>3443</v>
      </c>
      <c r="F486" s="64" t="s">
        <v>1663</v>
      </c>
      <c r="G486" s="65" t="s">
        <v>1664</v>
      </c>
      <c r="H486" s="65" t="s">
        <v>3444</v>
      </c>
      <c r="I486" s="65" t="s">
        <v>3445</v>
      </c>
      <c r="J486" s="65" t="s">
        <v>1667</v>
      </c>
      <c r="K486" s="65" t="s">
        <v>1668</v>
      </c>
      <c r="L486" s="65" t="s">
        <v>3446</v>
      </c>
      <c r="M486" s="65" t="s">
        <v>3447</v>
      </c>
      <c r="N486" s="63"/>
    </row>
    <row r="487" spans="1:14" ht="12.75">
      <c r="A487" s="68"/>
      <c r="B487" s="74" t="s">
        <v>3429</v>
      </c>
      <c r="C487" s="63"/>
      <c r="D487" s="64" t="s">
        <v>3448</v>
      </c>
      <c r="E487" s="64" t="s">
        <v>3449</v>
      </c>
      <c r="F487" s="64" t="s">
        <v>1663</v>
      </c>
      <c r="G487" s="65" t="s">
        <v>3367</v>
      </c>
      <c r="H487" s="65" t="s">
        <v>3450</v>
      </c>
      <c r="I487" s="65" t="s">
        <v>1666</v>
      </c>
      <c r="J487" s="65" t="s">
        <v>1682</v>
      </c>
      <c r="K487" s="65" t="s">
        <v>3451</v>
      </c>
      <c r="L487" s="65">
        <v>90422082</v>
      </c>
      <c r="M487" s="65" t="s">
        <v>1687</v>
      </c>
      <c r="N487" s="63"/>
    </row>
    <row r="488" spans="1:14" ht="12.75">
      <c r="A488" s="68"/>
      <c r="B488" s="74" t="s">
        <v>3429</v>
      </c>
      <c r="C488" s="63"/>
      <c r="D488" s="64" t="s">
        <v>3452</v>
      </c>
      <c r="E488" s="64" t="s">
        <v>3453</v>
      </c>
      <c r="F488" s="64" t="s">
        <v>1663</v>
      </c>
      <c r="G488" s="65" t="s">
        <v>1664</v>
      </c>
      <c r="H488" s="65" t="s">
        <v>3454</v>
      </c>
      <c r="I488" s="65" t="s">
        <v>3455</v>
      </c>
      <c r="J488" s="65" t="s">
        <v>1667</v>
      </c>
      <c r="K488" s="65" t="s">
        <v>1668</v>
      </c>
      <c r="L488" s="65" t="s">
        <v>3456</v>
      </c>
      <c r="M488" s="65" t="s">
        <v>3457</v>
      </c>
      <c r="N488" s="63"/>
    </row>
    <row r="489" spans="1:14" ht="12.75">
      <c r="A489" s="68"/>
      <c r="B489" s="74" t="s">
        <v>3429</v>
      </c>
      <c r="C489" s="63"/>
      <c r="D489" s="64" t="s">
        <v>3458</v>
      </c>
      <c r="E489" s="64" t="s">
        <v>3459</v>
      </c>
      <c r="F489" s="64" t="s">
        <v>1663</v>
      </c>
      <c r="G489" s="65" t="s">
        <v>1664</v>
      </c>
      <c r="H489" s="65" t="s">
        <v>3460</v>
      </c>
      <c r="I489" s="65" t="s">
        <v>3461</v>
      </c>
      <c r="J489" s="65" t="s">
        <v>1667</v>
      </c>
      <c r="K489" s="65" t="s">
        <v>1668</v>
      </c>
      <c r="L489" s="65" t="s">
        <v>3462</v>
      </c>
      <c r="M489" s="65" t="s">
        <v>3463</v>
      </c>
      <c r="N489" s="63"/>
    </row>
    <row r="490" spans="1:14" ht="12.75">
      <c r="A490" s="68"/>
      <c r="B490" s="74" t="s">
        <v>3429</v>
      </c>
      <c r="C490" s="63"/>
      <c r="D490" s="64" t="s">
        <v>3464</v>
      </c>
      <c r="E490" s="64" t="s">
        <v>3465</v>
      </c>
      <c r="F490" s="64" t="s">
        <v>1682</v>
      </c>
      <c r="G490" s="65" t="s">
        <v>2476</v>
      </c>
      <c r="H490" s="65" t="s">
        <v>3466</v>
      </c>
      <c r="I490" s="65" t="s">
        <v>1687</v>
      </c>
      <c r="J490" s="65" t="s">
        <v>2130</v>
      </c>
      <c r="K490" s="65" t="s">
        <v>2131</v>
      </c>
      <c r="L490" s="65" t="s">
        <v>3467</v>
      </c>
      <c r="M490" s="65" t="s">
        <v>1687</v>
      </c>
      <c r="N490" s="63"/>
    </row>
    <row r="491" spans="1:14" ht="12.75">
      <c r="A491" s="68"/>
      <c r="B491" s="74" t="s">
        <v>3429</v>
      </c>
      <c r="C491" s="63"/>
      <c r="D491" s="64" t="s">
        <v>3468</v>
      </c>
      <c r="E491" s="64" t="s">
        <v>3469</v>
      </c>
      <c r="F491" s="64" t="s">
        <v>1663</v>
      </c>
      <c r="G491" s="65" t="s">
        <v>1664</v>
      </c>
      <c r="H491" s="65" t="s">
        <v>3470</v>
      </c>
      <c r="I491" s="65" t="s">
        <v>3471</v>
      </c>
      <c r="J491" s="65" t="s">
        <v>1667</v>
      </c>
      <c r="K491" s="65" t="s">
        <v>1668</v>
      </c>
      <c r="L491" s="65" t="s">
        <v>3472</v>
      </c>
      <c r="M491" s="65" t="s">
        <v>3473</v>
      </c>
      <c r="N491" s="63"/>
    </row>
    <row r="492" spans="1:14" ht="12.75">
      <c r="A492" s="68"/>
      <c r="B492" s="74" t="s">
        <v>3429</v>
      </c>
      <c r="C492" s="63"/>
      <c r="D492" s="64" t="s">
        <v>3474</v>
      </c>
      <c r="E492" s="64" t="s">
        <v>3475</v>
      </c>
      <c r="F492" s="64" t="s">
        <v>1682</v>
      </c>
      <c r="G492" s="65" t="s">
        <v>2476</v>
      </c>
      <c r="H492" s="65" t="s">
        <v>3476</v>
      </c>
      <c r="I492" s="65" t="s">
        <v>1687</v>
      </c>
      <c r="J492" s="65" t="s">
        <v>1682</v>
      </c>
      <c r="K492" s="65" t="s">
        <v>1837</v>
      </c>
      <c r="L492" s="65">
        <v>30469164</v>
      </c>
      <c r="M492" s="65" t="s">
        <v>1687</v>
      </c>
      <c r="N492" s="63"/>
    </row>
    <row r="493" spans="1:14" ht="12.75">
      <c r="A493" s="68"/>
      <c r="B493" s="74" t="s">
        <v>3429</v>
      </c>
      <c r="C493" s="63"/>
      <c r="D493" s="64" t="s">
        <v>3477</v>
      </c>
      <c r="E493" s="64" t="s">
        <v>3478</v>
      </c>
      <c r="F493" s="64" t="s">
        <v>1682</v>
      </c>
      <c r="G493" s="65" t="s">
        <v>2476</v>
      </c>
      <c r="H493" s="65" t="s">
        <v>3479</v>
      </c>
      <c r="I493" s="65" t="s">
        <v>1687</v>
      </c>
      <c r="J493" s="65" t="s">
        <v>1682</v>
      </c>
      <c r="K493" s="65" t="s">
        <v>1837</v>
      </c>
      <c r="L493" s="65">
        <v>30469823</v>
      </c>
      <c r="M493" s="65" t="s">
        <v>1687</v>
      </c>
      <c r="N493" s="63"/>
    </row>
    <row r="494" spans="1:14" ht="12.75">
      <c r="A494" s="68"/>
      <c r="B494" s="74" t="s">
        <v>3429</v>
      </c>
      <c r="C494" s="63"/>
      <c r="D494" s="64" t="s">
        <v>3480</v>
      </c>
      <c r="E494" s="64" t="s">
        <v>3481</v>
      </c>
      <c r="F494" s="64" t="s">
        <v>1663</v>
      </c>
      <c r="G494" s="65" t="s">
        <v>1664</v>
      </c>
      <c r="H494" s="65" t="s">
        <v>3482</v>
      </c>
      <c r="I494" s="65"/>
      <c r="J494" s="65" t="s">
        <v>1667</v>
      </c>
      <c r="K494" s="65" t="s">
        <v>1668</v>
      </c>
      <c r="L494" s="65" t="s">
        <v>3483</v>
      </c>
      <c r="M494" s="65" t="s">
        <v>3484</v>
      </c>
      <c r="N494" s="63"/>
    </row>
    <row r="495" spans="1:14" ht="12.75">
      <c r="A495" s="68"/>
      <c r="B495" s="74" t="s">
        <v>3429</v>
      </c>
      <c r="C495" s="63"/>
      <c r="D495" s="64" t="s">
        <v>3485</v>
      </c>
      <c r="E495" s="64" t="s">
        <v>3486</v>
      </c>
      <c r="F495" s="64" t="s">
        <v>1682</v>
      </c>
      <c r="G495" s="65" t="s">
        <v>2476</v>
      </c>
      <c r="H495" s="65" t="s">
        <v>3487</v>
      </c>
      <c r="I495" s="65" t="s">
        <v>1687</v>
      </c>
      <c r="J495" s="65" t="s">
        <v>1682</v>
      </c>
      <c r="K495" s="65" t="s">
        <v>1837</v>
      </c>
      <c r="L495" s="65">
        <v>30470351</v>
      </c>
      <c r="M495" s="65" t="s">
        <v>1687</v>
      </c>
      <c r="N495" s="63"/>
    </row>
    <row r="496" spans="1:14" ht="12.75">
      <c r="A496" s="68"/>
      <c r="B496" s="74" t="s">
        <v>3429</v>
      </c>
      <c r="C496" s="63"/>
      <c r="D496" s="64" t="s">
        <v>3488</v>
      </c>
      <c r="E496" s="64" t="s">
        <v>3489</v>
      </c>
      <c r="F496" s="64" t="s">
        <v>1682</v>
      </c>
      <c r="G496" s="65" t="s">
        <v>2476</v>
      </c>
      <c r="H496" s="65" t="s">
        <v>3490</v>
      </c>
      <c r="I496" s="65" t="s">
        <v>1687</v>
      </c>
      <c r="J496" s="65" t="s">
        <v>2130</v>
      </c>
      <c r="K496" s="65" t="s">
        <v>2131</v>
      </c>
      <c r="L496" s="65" t="s">
        <v>3491</v>
      </c>
      <c r="M496" s="65" t="s">
        <v>1687</v>
      </c>
      <c r="N496" s="63"/>
    </row>
    <row r="497" spans="1:14" ht="12.75">
      <c r="A497" s="68"/>
      <c r="B497" s="74" t="s">
        <v>3429</v>
      </c>
      <c r="C497" s="63"/>
      <c r="D497" s="64" t="s">
        <v>3492</v>
      </c>
      <c r="E497" s="64" t="s">
        <v>3493</v>
      </c>
      <c r="F497" s="64" t="s">
        <v>1663</v>
      </c>
      <c r="G497" s="65" t="s">
        <v>1664</v>
      </c>
      <c r="H497" s="65" t="s">
        <v>3494</v>
      </c>
      <c r="I497" s="65" t="s">
        <v>3495</v>
      </c>
      <c r="J497" s="65" t="s">
        <v>1667</v>
      </c>
      <c r="K497" s="65" t="s">
        <v>1668</v>
      </c>
      <c r="L497" s="65" t="s">
        <v>3496</v>
      </c>
      <c r="M497" s="65" t="s">
        <v>3497</v>
      </c>
      <c r="N497" s="63"/>
    </row>
    <row r="498" spans="1:14" ht="12.75">
      <c r="A498" s="68"/>
      <c r="B498" s="74" t="s">
        <v>3429</v>
      </c>
      <c r="C498" s="63"/>
      <c r="D498" s="64" t="s">
        <v>3498</v>
      </c>
      <c r="E498" s="64" t="s">
        <v>3499</v>
      </c>
      <c r="F498" s="64" t="s">
        <v>1663</v>
      </c>
      <c r="G498" s="65" t="s">
        <v>1664</v>
      </c>
      <c r="H498" s="65" t="s">
        <v>3500</v>
      </c>
      <c r="I498" s="65" t="s">
        <v>3501</v>
      </c>
      <c r="J498" s="65" t="s">
        <v>1667</v>
      </c>
      <c r="K498" s="65" t="s">
        <v>1668</v>
      </c>
      <c r="L498" s="65" t="s">
        <v>3502</v>
      </c>
      <c r="M498" s="65" t="s">
        <v>3503</v>
      </c>
      <c r="N498" s="63"/>
    </row>
    <row r="499" spans="1:14" ht="12.75">
      <c r="A499" s="68"/>
      <c r="B499" s="74" t="s">
        <v>3429</v>
      </c>
      <c r="C499" s="63"/>
      <c r="D499" s="64" t="s">
        <v>3504</v>
      </c>
      <c r="E499" s="64" t="s">
        <v>3505</v>
      </c>
      <c r="F499" s="64" t="s">
        <v>1663</v>
      </c>
      <c r="G499" s="65" t="s">
        <v>1664</v>
      </c>
      <c r="H499" s="65" t="s">
        <v>3506</v>
      </c>
      <c r="I499" s="65" t="s">
        <v>3507</v>
      </c>
      <c r="J499" s="65" t="s">
        <v>1667</v>
      </c>
      <c r="K499" s="65" t="s">
        <v>1668</v>
      </c>
      <c r="L499" s="65" t="s">
        <v>3508</v>
      </c>
      <c r="M499" s="65" t="s">
        <v>3509</v>
      </c>
      <c r="N499" s="63"/>
    </row>
    <row r="500" spans="1:14" ht="12.75">
      <c r="A500" s="68"/>
      <c r="B500" s="74" t="s">
        <v>3429</v>
      </c>
      <c r="C500" s="63"/>
      <c r="D500" s="64" t="s">
        <v>3510</v>
      </c>
      <c r="E500" s="64" t="s">
        <v>3511</v>
      </c>
      <c r="F500" s="64" t="s">
        <v>1682</v>
      </c>
      <c r="G500" s="65" t="s">
        <v>1683</v>
      </c>
      <c r="H500" s="65" t="s">
        <v>3512</v>
      </c>
      <c r="I500" s="65"/>
      <c r="J500" s="65" t="s">
        <v>1682</v>
      </c>
      <c r="K500" s="65" t="s">
        <v>2077</v>
      </c>
      <c r="L500" s="65" t="s">
        <v>3513</v>
      </c>
      <c r="M500" s="65" t="s">
        <v>3514</v>
      </c>
      <c r="N500" s="63"/>
    </row>
    <row r="501" spans="1:14" ht="12.75">
      <c r="A501" s="68"/>
      <c r="B501" s="74" t="s">
        <v>3429</v>
      </c>
      <c r="C501" s="63"/>
      <c r="D501" s="64" t="s">
        <v>3515</v>
      </c>
      <c r="E501" s="64" t="s">
        <v>3516</v>
      </c>
      <c r="F501" s="64" t="s">
        <v>1663</v>
      </c>
      <c r="G501" s="65" t="s">
        <v>1664</v>
      </c>
      <c r="H501" s="65" t="s">
        <v>3517</v>
      </c>
      <c r="I501" s="65" t="s">
        <v>3518</v>
      </c>
      <c r="J501" s="65" t="s">
        <v>1667</v>
      </c>
      <c r="K501" s="65" t="s">
        <v>1668</v>
      </c>
      <c r="L501" s="65" t="s">
        <v>3519</v>
      </c>
      <c r="M501" s="65" t="s">
        <v>3520</v>
      </c>
      <c r="N501" s="63"/>
    </row>
    <row r="502" spans="1:14" ht="12.75">
      <c r="A502" s="68"/>
      <c r="B502" s="74" t="s">
        <v>3429</v>
      </c>
      <c r="C502" s="63"/>
      <c r="D502" s="64" t="s">
        <v>3521</v>
      </c>
      <c r="E502" s="64" t="s">
        <v>3522</v>
      </c>
      <c r="F502" s="64" t="s">
        <v>1663</v>
      </c>
      <c r="G502" s="65" t="s">
        <v>1664</v>
      </c>
      <c r="H502" s="65" t="s">
        <v>3523</v>
      </c>
      <c r="I502" s="65" t="s">
        <v>3524</v>
      </c>
      <c r="J502" s="65" t="s">
        <v>1667</v>
      </c>
      <c r="K502" s="65" t="s">
        <v>1668</v>
      </c>
      <c r="L502" s="65" t="s">
        <v>2110</v>
      </c>
      <c r="M502" s="65" t="s">
        <v>2044</v>
      </c>
      <c r="N502" s="63"/>
    </row>
    <row r="503" spans="1:14" ht="12.75">
      <c r="A503" s="68"/>
      <c r="B503" s="76" t="s">
        <v>3525</v>
      </c>
      <c r="C503" s="63"/>
      <c r="D503" s="64"/>
      <c r="E503" s="66"/>
      <c r="F503" s="64"/>
      <c r="G503" s="65"/>
      <c r="H503" s="65"/>
      <c r="I503" s="65"/>
      <c r="J503" s="65"/>
      <c r="K503" s="65"/>
      <c r="L503" s="65"/>
      <c r="M503" s="65"/>
      <c r="N503" s="63"/>
    </row>
    <row r="504" spans="1:14" ht="12.75">
      <c r="A504" s="68"/>
      <c r="B504" s="76" t="s">
        <v>3525</v>
      </c>
      <c r="C504" s="63"/>
      <c r="D504" s="64"/>
      <c r="E504" s="66"/>
      <c r="F504" s="64"/>
      <c r="G504" s="65"/>
      <c r="H504" s="65"/>
      <c r="I504" s="65"/>
      <c r="J504" s="65"/>
      <c r="K504" s="65"/>
      <c r="L504" s="65"/>
      <c r="M504" s="65"/>
      <c r="N504" s="63"/>
    </row>
    <row r="505" spans="1:14" ht="12.75">
      <c r="A505" s="68"/>
      <c r="B505" s="76" t="s">
        <v>3525</v>
      </c>
      <c r="C505" s="63"/>
      <c r="D505" s="64"/>
      <c r="E505" s="66"/>
      <c r="F505" s="64"/>
      <c r="G505" s="65"/>
      <c r="H505" s="65"/>
      <c r="I505" s="65"/>
      <c r="J505" s="65"/>
      <c r="K505" s="65"/>
      <c r="L505" s="65"/>
      <c r="M505" s="65"/>
      <c r="N505" s="63"/>
    </row>
    <row r="506" spans="1:14" ht="12.75">
      <c r="A506" s="68"/>
      <c r="B506" s="74" t="s">
        <v>3526</v>
      </c>
      <c r="C506" s="63"/>
      <c r="D506" s="64" t="s">
        <v>3527</v>
      </c>
      <c r="E506" s="64" t="s">
        <v>3528</v>
      </c>
      <c r="F506" s="64" t="s">
        <v>1682</v>
      </c>
      <c r="G506" s="65" t="s">
        <v>2476</v>
      </c>
      <c r="H506" s="65" t="s">
        <v>3529</v>
      </c>
      <c r="I506" s="65" t="s">
        <v>1687</v>
      </c>
      <c r="J506" s="65" t="s">
        <v>1682</v>
      </c>
      <c r="K506" s="65" t="s">
        <v>1837</v>
      </c>
      <c r="L506" s="65">
        <v>30469203</v>
      </c>
      <c r="M506" s="65" t="s">
        <v>1687</v>
      </c>
      <c r="N506" s="63"/>
    </row>
    <row r="507" spans="1:14" ht="12.75">
      <c r="A507" s="68"/>
      <c r="B507" s="74" t="s">
        <v>3526</v>
      </c>
      <c r="C507" s="63"/>
      <c r="D507" s="64" t="s">
        <v>3530</v>
      </c>
      <c r="E507" s="64" t="s">
        <v>3531</v>
      </c>
      <c r="F507" s="64" t="s">
        <v>1682</v>
      </c>
      <c r="G507" s="65" t="s">
        <v>2476</v>
      </c>
      <c r="H507" s="65" t="s">
        <v>3532</v>
      </c>
      <c r="I507" s="65" t="s">
        <v>1687</v>
      </c>
      <c r="J507" s="65" t="s">
        <v>2130</v>
      </c>
      <c r="K507" s="65" t="s">
        <v>3533</v>
      </c>
      <c r="L507" s="65" t="s">
        <v>3534</v>
      </c>
      <c r="M507" s="65" t="s">
        <v>1687</v>
      </c>
      <c r="N507" s="63"/>
    </row>
    <row r="508" spans="1:14" ht="12.75">
      <c r="A508" s="68"/>
      <c r="B508" s="74" t="s">
        <v>3526</v>
      </c>
      <c r="C508" s="63"/>
      <c r="D508" s="64" t="s">
        <v>3535</v>
      </c>
      <c r="E508" s="64" t="s">
        <v>3536</v>
      </c>
      <c r="F508" s="64" t="s">
        <v>1663</v>
      </c>
      <c r="G508" s="65" t="s">
        <v>2040</v>
      </c>
      <c r="H508" s="65" t="s">
        <v>3537</v>
      </c>
      <c r="I508" s="65" t="s">
        <v>3538</v>
      </c>
      <c r="J508" s="65" t="s">
        <v>1667</v>
      </c>
      <c r="K508" s="65" t="s">
        <v>1668</v>
      </c>
      <c r="L508" s="65" t="s">
        <v>3539</v>
      </c>
      <c r="M508" s="65" t="s">
        <v>3540</v>
      </c>
      <c r="N508" s="63"/>
    </row>
    <row r="509" spans="1:14" ht="12.75">
      <c r="A509" s="68"/>
      <c r="B509" s="74" t="s">
        <v>3526</v>
      </c>
      <c r="C509" s="63"/>
      <c r="D509" s="64" t="s">
        <v>3541</v>
      </c>
      <c r="E509" s="64" t="s">
        <v>3542</v>
      </c>
      <c r="F509" s="64" t="s">
        <v>1682</v>
      </c>
      <c r="G509" s="65" t="s">
        <v>2074</v>
      </c>
      <c r="H509" s="65" t="s">
        <v>3543</v>
      </c>
      <c r="I509" s="65" t="s">
        <v>3544</v>
      </c>
      <c r="J509" s="65" t="s">
        <v>1682</v>
      </c>
      <c r="K509" s="65" t="s">
        <v>2077</v>
      </c>
      <c r="L509" s="65" t="s">
        <v>3545</v>
      </c>
      <c r="M509" s="65" t="s">
        <v>1687</v>
      </c>
      <c r="N509" s="63"/>
    </row>
    <row r="510" spans="1:14" ht="12.75">
      <c r="A510" s="68"/>
      <c r="B510" s="74" t="s">
        <v>3526</v>
      </c>
      <c r="C510" s="63"/>
      <c r="D510" s="64"/>
      <c r="E510" s="66"/>
      <c r="F510" s="66"/>
      <c r="G510" s="67"/>
      <c r="H510" s="67"/>
      <c r="I510" s="67"/>
      <c r="J510" s="67"/>
      <c r="K510" s="67"/>
      <c r="L510" s="65"/>
      <c r="M510" s="65"/>
      <c r="N510" s="63"/>
    </row>
    <row r="511" spans="1:14" ht="12.75">
      <c r="A511" s="68"/>
      <c r="B511" s="76" t="s">
        <v>3546</v>
      </c>
      <c r="C511" s="63"/>
      <c r="D511" s="64"/>
      <c r="E511" s="66"/>
      <c r="F511" s="66"/>
      <c r="G511" s="67"/>
      <c r="H511" s="67"/>
      <c r="I511" s="67"/>
      <c r="J511" s="67"/>
      <c r="K511" s="67"/>
      <c r="L511" s="65"/>
      <c r="M511" s="65"/>
      <c r="N511" s="63"/>
    </row>
    <row r="512" spans="1:14" ht="12.75">
      <c r="A512" s="68"/>
      <c r="B512" s="76" t="s">
        <v>3546</v>
      </c>
      <c r="C512" s="63"/>
      <c r="D512" s="64"/>
      <c r="E512" s="66"/>
      <c r="F512" s="66"/>
      <c r="G512" s="67"/>
      <c r="H512" s="67"/>
      <c r="I512" s="67"/>
      <c r="J512" s="67"/>
      <c r="K512" s="67"/>
      <c r="L512" s="65"/>
      <c r="M512" s="65"/>
      <c r="N512" s="63"/>
    </row>
    <row r="513" spans="1:14" ht="12.75">
      <c r="A513" s="68"/>
      <c r="B513" s="76" t="s">
        <v>3546</v>
      </c>
      <c r="C513" s="63"/>
      <c r="D513" s="64"/>
      <c r="E513" s="66"/>
      <c r="F513" s="66"/>
      <c r="G513" s="67"/>
      <c r="H513" s="67"/>
      <c r="I513" s="67"/>
      <c r="J513" s="67"/>
      <c r="K513" s="67"/>
      <c r="L513" s="65"/>
      <c r="M513" s="65"/>
      <c r="N513" s="63"/>
    </row>
    <row r="514" spans="1:14" ht="12.75">
      <c r="A514" s="68"/>
      <c r="B514" s="74" t="s">
        <v>3547</v>
      </c>
      <c r="C514" s="63"/>
      <c r="D514" s="64" t="s">
        <v>3548</v>
      </c>
      <c r="E514" s="64" t="s">
        <v>3549</v>
      </c>
      <c r="F514" s="64" t="s">
        <v>3550</v>
      </c>
      <c r="G514" s="65" t="s">
        <v>3551</v>
      </c>
      <c r="H514" s="65" t="s">
        <v>3552</v>
      </c>
      <c r="I514" s="65" t="s">
        <v>1687</v>
      </c>
      <c r="J514" s="65"/>
      <c r="K514" s="65"/>
      <c r="L514" s="65"/>
      <c r="M514" s="65"/>
      <c r="N514" s="63"/>
    </row>
    <row r="515" spans="1:14" ht="12.75">
      <c r="A515" s="68"/>
      <c r="B515" s="74" t="s">
        <v>3547</v>
      </c>
      <c r="C515" s="63"/>
      <c r="D515" s="64" t="s">
        <v>3553</v>
      </c>
      <c r="E515" s="64" t="s">
        <v>3549</v>
      </c>
      <c r="F515" s="64" t="s">
        <v>3550</v>
      </c>
      <c r="G515" s="65" t="s">
        <v>3551</v>
      </c>
      <c r="H515" s="65" t="s">
        <v>3554</v>
      </c>
      <c r="I515" s="65" t="s">
        <v>1687</v>
      </c>
      <c r="J515" s="65"/>
      <c r="K515" s="65"/>
      <c r="L515" s="65"/>
      <c r="M515" s="65"/>
      <c r="N515" s="63"/>
    </row>
    <row r="516" spans="1:14" ht="12.75">
      <c r="A516" s="68"/>
      <c r="B516" s="74" t="s">
        <v>3547</v>
      </c>
      <c r="C516" s="63"/>
      <c r="D516" s="64" t="s">
        <v>3555</v>
      </c>
      <c r="E516" s="64" t="s">
        <v>3549</v>
      </c>
      <c r="F516" s="64" t="s">
        <v>3550</v>
      </c>
      <c r="G516" s="65" t="s">
        <v>3551</v>
      </c>
      <c r="H516" s="65" t="s">
        <v>3556</v>
      </c>
      <c r="I516" s="65" t="s">
        <v>1687</v>
      </c>
      <c r="J516" s="65"/>
      <c r="K516" s="65"/>
      <c r="L516" s="65"/>
      <c r="M516" s="65"/>
      <c r="N516" s="63"/>
    </row>
    <row r="517" spans="1:14" ht="12.75">
      <c r="A517" s="68"/>
      <c r="B517" s="74" t="s">
        <v>3547</v>
      </c>
      <c r="C517" s="63"/>
      <c r="D517" s="64" t="s">
        <v>3557</v>
      </c>
      <c r="E517" s="64" t="s">
        <v>3549</v>
      </c>
      <c r="F517" s="64" t="s">
        <v>3550</v>
      </c>
      <c r="G517" s="65" t="s">
        <v>3551</v>
      </c>
      <c r="H517" s="65" t="s">
        <v>3558</v>
      </c>
      <c r="I517" s="65" t="s">
        <v>1687</v>
      </c>
      <c r="J517" s="65"/>
      <c r="K517" s="65"/>
      <c r="L517" s="65"/>
      <c r="M517" s="65"/>
      <c r="N517" s="63"/>
    </row>
    <row r="518" spans="1:14" ht="12.75">
      <c r="A518" s="68"/>
      <c r="B518" s="74" t="s">
        <v>3559</v>
      </c>
      <c r="C518" s="63"/>
      <c r="D518" s="64" t="s">
        <v>3560</v>
      </c>
      <c r="E518" s="64" t="s">
        <v>3561</v>
      </c>
      <c r="F518" s="64" t="s">
        <v>1673</v>
      </c>
      <c r="G518" s="65" t="s">
        <v>1664</v>
      </c>
      <c r="H518" s="65" t="s">
        <v>3562</v>
      </c>
      <c r="I518" s="65" t="s">
        <v>3563</v>
      </c>
      <c r="J518" s="65" t="s">
        <v>3564</v>
      </c>
      <c r="K518" s="65" t="s">
        <v>3565</v>
      </c>
      <c r="L518" s="65" t="s">
        <v>3566</v>
      </c>
      <c r="M518" s="65" t="s">
        <v>3567</v>
      </c>
      <c r="N518" s="63"/>
    </row>
    <row r="519" spans="1:14" ht="12.75">
      <c r="A519" s="68"/>
      <c r="B519" s="74" t="s">
        <v>3559</v>
      </c>
      <c r="C519" s="63"/>
      <c r="D519" s="64" t="s">
        <v>3568</v>
      </c>
      <c r="E519" s="64" t="s">
        <v>3569</v>
      </c>
      <c r="F519" s="64" t="s">
        <v>1673</v>
      </c>
      <c r="G519" s="65" t="s">
        <v>1674</v>
      </c>
      <c r="H519" s="65" t="s">
        <v>3570</v>
      </c>
      <c r="I519" s="65" t="s">
        <v>3571</v>
      </c>
      <c r="J519" s="65" t="s">
        <v>3572</v>
      </c>
      <c r="K519" s="65" t="s">
        <v>1687</v>
      </c>
      <c r="L519" s="65" t="s">
        <v>3573</v>
      </c>
      <c r="M519" s="65" t="s">
        <v>3574</v>
      </c>
      <c r="N519" s="63"/>
    </row>
    <row r="520" spans="1:14" ht="12.75">
      <c r="A520" s="68"/>
      <c r="B520" s="74" t="s">
        <v>3559</v>
      </c>
      <c r="C520" s="63"/>
      <c r="D520" s="64" t="s">
        <v>3575</v>
      </c>
      <c r="E520" s="64" t="s">
        <v>3576</v>
      </c>
      <c r="F520" s="64" t="s">
        <v>1673</v>
      </c>
      <c r="G520" s="65" t="s">
        <v>1674</v>
      </c>
      <c r="H520" s="65" t="s">
        <v>3577</v>
      </c>
      <c r="I520" s="65" t="s">
        <v>3578</v>
      </c>
      <c r="J520" s="65" t="s">
        <v>3579</v>
      </c>
      <c r="K520" s="65" t="s">
        <v>3580</v>
      </c>
      <c r="L520" s="65" t="s">
        <v>3581</v>
      </c>
      <c r="M520" s="65" t="s">
        <v>3582</v>
      </c>
      <c r="N520" s="63"/>
    </row>
    <row r="521" spans="1:14" ht="12.75">
      <c r="A521" s="68"/>
      <c r="B521" s="74" t="s">
        <v>3559</v>
      </c>
      <c r="C521" s="63"/>
      <c r="D521" s="64" t="s">
        <v>3583</v>
      </c>
      <c r="E521" s="64" t="s">
        <v>3584</v>
      </c>
      <c r="F521" s="64" t="s">
        <v>1663</v>
      </c>
      <c r="G521" s="65" t="s">
        <v>1664</v>
      </c>
      <c r="H521" s="65" t="s">
        <v>3585</v>
      </c>
      <c r="I521" s="65" t="s">
        <v>3586</v>
      </c>
      <c r="J521" s="65" t="s">
        <v>3587</v>
      </c>
      <c r="K521" s="65" t="s">
        <v>3588</v>
      </c>
      <c r="L521" s="65" t="s">
        <v>3589</v>
      </c>
      <c r="M521" s="65" t="s">
        <v>3590</v>
      </c>
      <c r="N521" s="63"/>
    </row>
    <row r="522" spans="1:14" ht="12.75">
      <c r="A522" s="68"/>
      <c r="B522" s="74" t="s">
        <v>3559</v>
      </c>
      <c r="C522" s="63"/>
      <c r="D522" s="64" t="s">
        <v>3591</v>
      </c>
      <c r="E522" s="64" t="s">
        <v>3592</v>
      </c>
      <c r="F522" s="64" t="s">
        <v>1663</v>
      </c>
      <c r="G522" s="65" t="s">
        <v>1664</v>
      </c>
      <c r="H522" s="65" t="s">
        <v>3593</v>
      </c>
      <c r="I522" s="65" t="s">
        <v>3594</v>
      </c>
      <c r="J522" s="65" t="s">
        <v>3595</v>
      </c>
      <c r="K522" s="65" t="s">
        <v>3596</v>
      </c>
      <c r="L522" s="65" t="s">
        <v>3597</v>
      </c>
      <c r="M522" s="65" t="s">
        <v>3598</v>
      </c>
      <c r="N522" s="63"/>
    </row>
    <row r="523" spans="1:14" ht="12.75">
      <c r="A523" s="68"/>
      <c r="B523" s="74" t="s">
        <v>3559</v>
      </c>
      <c r="C523" s="63"/>
      <c r="D523" s="64" t="s">
        <v>3599</v>
      </c>
      <c r="E523" s="64" t="s">
        <v>3600</v>
      </c>
      <c r="F523" s="64" t="s">
        <v>1663</v>
      </c>
      <c r="G523" s="65" t="s">
        <v>1664</v>
      </c>
      <c r="H523" s="65" t="s">
        <v>3601</v>
      </c>
      <c r="I523" s="65" t="s">
        <v>3602</v>
      </c>
      <c r="J523" s="65" t="s">
        <v>3587</v>
      </c>
      <c r="K523" s="65" t="s">
        <v>3603</v>
      </c>
      <c r="L523" s="65" t="s">
        <v>3604</v>
      </c>
      <c r="M523" s="65" t="s">
        <v>3605</v>
      </c>
      <c r="N523" s="63"/>
    </row>
    <row r="524" spans="1:14" ht="12.75">
      <c r="A524" s="68"/>
      <c r="B524" s="74" t="s">
        <v>3559</v>
      </c>
      <c r="C524" s="63"/>
      <c r="D524" s="64" t="s">
        <v>3606</v>
      </c>
      <c r="E524" s="64" t="s">
        <v>3607</v>
      </c>
      <c r="F524" s="64" t="s">
        <v>1673</v>
      </c>
      <c r="G524" s="65" t="s">
        <v>3608</v>
      </c>
      <c r="H524" s="65" t="s">
        <v>3609</v>
      </c>
      <c r="I524" s="65" t="s">
        <v>3610</v>
      </c>
      <c r="J524" s="65" t="s">
        <v>1673</v>
      </c>
      <c r="K524" s="65" t="s">
        <v>1928</v>
      </c>
      <c r="L524" s="65" t="s">
        <v>3611</v>
      </c>
      <c r="M524" s="65" t="s">
        <v>3612</v>
      </c>
      <c r="N524" s="63"/>
    </row>
    <row r="525" spans="1:14" ht="12.75">
      <c r="A525" s="68"/>
      <c r="B525" s="74" t="s">
        <v>3559</v>
      </c>
      <c r="C525" s="63"/>
      <c r="D525" s="64" t="s">
        <v>3613</v>
      </c>
      <c r="E525" s="64" t="s">
        <v>3614</v>
      </c>
      <c r="F525" s="64" t="s">
        <v>1673</v>
      </c>
      <c r="G525" s="65" t="s">
        <v>3615</v>
      </c>
      <c r="H525" s="65" t="s">
        <v>3616</v>
      </c>
      <c r="I525" s="65" t="s">
        <v>3617</v>
      </c>
      <c r="J525" s="65" t="s">
        <v>3618</v>
      </c>
      <c r="K525" s="65" t="s">
        <v>3619</v>
      </c>
      <c r="L525" s="65" t="s">
        <v>3620</v>
      </c>
      <c r="M525" s="65" t="s">
        <v>3621</v>
      </c>
      <c r="N525" s="63"/>
    </row>
    <row r="526" spans="1:14" ht="12.75">
      <c r="A526" s="68"/>
      <c r="B526" s="74" t="s">
        <v>3559</v>
      </c>
      <c r="C526" s="63"/>
      <c r="D526" s="64" t="s">
        <v>3622</v>
      </c>
      <c r="E526" s="64" t="s">
        <v>3623</v>
      </c>
      <c r="F526" s="64" t="s">
        <v>1673</v>
      </c>
      <c r="G526" s="65" t="s">
        <v>1674</v>
      </c>
      <c r="H526" s="65" t="s">
        <v>3624</v>
      </c>
      <c r="I526" s="65" t="s">
        <v>3625</v>
      </c>
      <c r="J526" s="65" t="s">
        <v>1673</v>
      </c>
      <c r="K526" s="65" t="s">
        <v>1928</v>
      </c>
      <c r="L526" s="65" t="s">
        <v>3626</v>
      </c>
      <c r="M526" s="65" t="s">
        <v>3627</v>
      </c>
      <c r="N526" s="63"/>
    </row>
    <row r="527" spans="1:14" ht="12.75">
      <c r="A527" s="68"/>
      <c r="B527" s="74" t="s">
        <v>3559</v>
      </c>
      <c r="C527" s="63"/>
      <c r="D527" s="64" t="s">
        <v>3628</v>
      </c>
      <c r="E527" s="64" t="s">
        <v>3629</v>
      </c>
      <c r="F527" s="64" t="s">
        <v>1663</v>
      </c>
      <c r="G527" s="65" t="s">
        <v>1664</v>
      </c>
      <c r="H527" s="65" t="s">
        <v>3630</v>
      </c>
      <c r="I527" s="65" t="s">
        <v>3631</v>
      </c>
      <c r="J527" s="65" t="s">
        <v>1667</v>
      </c>
      <c r="K527" s="65" t="s">
        <v>1668</v>
      </c>
      <c r="L527" s="65" t="s">
        <v>3632</v>
      </c>
      <c r="M527" s="65" t="s">
        <v>3633</v>
      </c>
      <c r="N527" s="63"/>
    </row>
    <row r="528" spans="1:14" ht="12.75">
      <c r="A528" s="68"/>
      <c r="B528" s="74" t="s">
        <v>3559</v>
      </c>
      <c r="C528" s="63"/>
      <c r="D528" s="64" t="s">
        <v>3634</v>
      </c>
      <c r="E528" s="64" t="s">
        <v>3635</v>
      </c>
      <c r="F528" s="64" t="s">
        <v>1663</v>
      </c>
      <c r="G528" s="65" t="s">
        <v>1664</v>
      </c>
      <c r="H528" s="65" t="s">
        <v>3636</v>
      </c>
      <c r="I528" s="65" t="s">
        <v>3637</v>
      </c>
      <c r="J528" s="65" t="s">
        <v>1667</v>
      </c>
      <c r="K528" s="65" t="s">
        <v>1668</v>
      </c>
      <c r="L528" s="65" t="s">
        <v>3638</v>
      </c>
      <c r="M528" s="65" t="s">
        <v>3639</v>
      </c>
      <c r="N528" s="63"/>
    </row>
    <row r="529" spans="1:14" ht="12.75">
      <c r="A529" s="68"/>
      <c r="B529" s="74" t="s">
        <v>3559</v>
      </c>
      <c r="C529" s="63"/>
      <c r="D529" s="64" t="s">
        <v>3640</v>
      </c>
      <c r="E529" s="64" t="s">
        <v>3641</v>
      </c>
      <c r="F529" s="64" t="s">
        <v>1673</v>
      </c>
      <c r="G529" s="65" t="s">
        <v>1674</v>
      </c>
      <c r="H529" s="65" t="s">
        <v>3642</v>
      </c>
      <c r="I529" s="65" t="s">
        <v>3643</v>
      </c>
      <c r="J529" s="65" t="s">
        <v>1673</v>
      </c>
      <c r="K529" s="65" t="s">
        <v>1928</v>
      </c>
      <c r="L529" s="65" t="s">
        <v>3644</v>
      </c>
      <c r="M529" s="65" t="s">
        <v>3645</v>
      </c>
      <c r="N529" s="63"/>
    </row>
    <row r="530" spans="1:14" ht="12.75">
      <c r="A530" s="68"/>
      <c r="B530" s="74" t="s">
        <v>3559</v>
      </c>
      <c r="C530" s="63"/>
      <c r="D530" s="64" t="s">
        <v>3646</v>
      </c>
      <c r="E530" s="64" t="s">
        <v>3647</v>
      </c>
      <c r="F530" s="64" t="s">
        <v>1663</v>
      </c>
      <c r="G530" s="65" t="s">
        <v>1664</v>
      </c>
      <c r="H530" s="65" t="s">
        <v>3648</v>
      </c>
      <c r="I530" s="65" t="s">
        <v>3649</v>
      </c>
      <c r="J530" s="65" t="s">
        <v>1667</v>
      </c>
      <c r="K530" s="65" t="s">
        <v>1668</v>
      </c>
      <c r="L530" s="65" t="s">
        <v>3650</v>
      </c>
      <c r="M530" s="65" t="s">
        <v>3651</v>
      </c>
      <c r="N530" s="63"/>
    </row>
    <row r="531" spans="1:14" ht="12.75">
      <c r="A531" s="68"/>
      <c r="B531" s="74" t="s">
        <v>3559</v>
      </c>
      <c r="C531" s="63"/>
      <c r="D531" s="64" t="s">
        <v>3652</v>
      </c>
      <c r="E531" s="64" t="s">
        <v>3653</v>
      </c>
      <c r="F531" s="64" t="s">
        <v>1818</v>
      </c>
      <c r="G531" s="65" t="s">
        <v>1819</v>
      </c>
      <c r="H531" s="65" t="s">
        <v>3654</v>
      </c>
      <c r="I531" s="65" t="s">
        <v>3655</v>
      </c>
      <c r="J531" s="65" t="s">
        <v>3656</v>
      </c>
      <c r="K531" s="65" t="s">
        <v>3657</v>
      </c>
      <c r="L531" s="65" t="s">
        <v>3658</v>
      </c>
      <c r="M531" s="65" t="s">
        <v>3659</v>
      </c>
      <c r="N531" s="63"/>
    </row>
    <row r="532" spans="1:14" ht="12.75">
      <c r="A532" s="68"/>
      <c r="B532" s="74" t="s">
        <v>3559</v>
      </c>
      <c r="C532" s="63"/>
      <c r="D532" s="64" t="s">
        <v>3660</v>
      </c>
      <c r="E532" s="64" t="s">
        <v>3661</v>
      </c>
      <c r="F532" s="64" t="s">
        <v>1818</v>
      </c>
      <c r="G532" s="65" t="s">
        <v>1819</v>
      </c>
      <c r="H532" s="65" t="s">
        <v>3662</v>
      </c>
      <c r="I532" s="65" t="s">
        <v>1687</v>
      </c>
      <c r="J532" s="65" t="s">
        <v>3656</v>
      </c>
      <c r="K532" s="65" t="s">
        <v>3657</v>
      </c>
      <c r="L532" s="65" t="s">
        <v>3658</v>
      </c>
      <c r="M532" s="65" t="s">
        <v>3659</v>
      </c>
      <c r="N532" s="63"/>
    </row>
    <row r="533" spans="1:14" ht="12.75">
      <c r="A533" s="68"/>
      <c r="B533" s="74" t="s">
        <v>3559</v>
      </c>
      <c r="C533" s="63"/>
      <c r="D533" s="64" t="s">
        <v>3663</v>
      </c>
      <c r="E533" s="64" t="s">
        <v>1623</v>
      </c>
      <c r="F533" s="64" t="s">
        <v>1682</v>
      </c>
      <c r="G533" s="65" t="s">
        <v>1683</v>
      </c>
      <c r="H533" s="65" t="s">
        <v>3664</v>
      </c>
      <c r="I533" s="65" t="s">
        <v>1687</v>
      </c>
      <c r="J533" s="65" t="s">
        <v>3656</v>
      </c>
      <c r="K533" s="65" t="s">
        <v>3657</v>
      </c>
      <c r="L533" s="65" t="s">
        <v>3658</v>
      </c>
      <c r="M533" s="65" t="s">
        <v>3659</v>
      </c>
      <c r="N533" s="63"/>
    </row>
    <row r="534" spans="1:14" ht="12.75">
      <c r="A534" s="68"/>
      <c r="B534" s="74" t="s">
        <v>3559</v>
      </c>
      <c r="C534" s="63"/>
      <c r="D534" s="64" t="s">
        <v>1565</v>
      </c>
      <c r="E534" s="64" t="s">
        <v>3665</v>
      </c>
      <c r="F534" s="64" t="s">
        <v>1818</v>
      </c>
      <c r="G534" s="65" t="s">
        <v>1819</v>
      </c>
      <c r="H534" s="65" t="s">
        <v>3666</v>
      </c>
      <c r="I534" s="65" t="s">
        <v>1687</v>
      </c>
      <c r="J534" s="65" t="s">
        <v>3656</v>
      </c>
      <c r="K534" s="65" t="s">
        <v>3657</v>
      </c>
      <c r="L534" s="65" t="s">
        <v>3658</v>
      </c>
      <c r="M534" s="65" t="s">
        <v>3659</v>
      </c>
      <c r="N534" s="63"/>
    </row>
    <row r="535" spans="1:14" ht="12.75">
      <c r="A535" s="68"/>
      <c r="B535" s="74" t="s">
        <v>3559</v>
      </c>
      <c r="C535" s="63"/>
      <c r="D535" s="64" t="s">
        <v>3667</v>
      </c>
      <c r="E535" s="64" t="s">
        <v>3668</v>
      </c>
      <c r="F535" s="64"/>
      <c r="G535" s="65"/>
      <c r="H535" s="65"/>
      <c r="I535" s="65"/>
      <c r="J535" s="65"/>
      <c r="K535" s="65"/>
      <c r="L535" s="65"/>
      <c r="M535" s="65"/>
      <c r="N535" s="63"/>
    </row>
    <row r="536" spans="1:14" ht="12.75">
      <c r="A536" s="68"/>
      <c r="B536" s="74" t="s">
        <v>3559</v>
      </c>
      <c r="C536" s="63"/>
      <c r="D536" s="64" t="s">
        <v>3669</v>
      </c>
      <c r="E536" s="64" t="s">
        <v>3670</v>
      </c>
      <c r="F536" s="64" t="s">
        <v>1673</v>
      </c>
      <c r="G536" s="65" t="s">
        <v>1674</v>
      </c>
      <c r="H536" s="65" t="s">
        <v>3671</v>
      </c>
      <c r="I536" s="65" t="s">
        <v>3672</v>
      </c>
      <c r="J536" s="65" t="s">
        <v>3673</v>
      </c>
      <c r="K536" s="65" t="s">
        <v>3674</v>
      </c>
      <c r="L536" s="65" t="s">
        <v>3675</v>
      </c>
      <c r="M536" s="65" t="s">
        <v>3676</v>
      </c>
      <c r="N536" s="63"/>
    </row>
    <row r="537" spans="1:14" ht="12.75">
      <c r="A537" s="68"/>
      <c r="B537" s="76" t="s">
        <v>3677</v>
      </c>
      <c r="C537" s="63"/>
      <c r="D537" s="64"/>
      <c r="E537" s="66"/>
      <c r="F537" s="66"/>
      <c r="G537" s="67"/>
      <c r="H537" s="67"/>
      <c r="I537" s="67"/>
      <c r="J537" s="67"/>
      <c r="K537" s="67"/>
      <c r="L537" s="65"/>
      <c r="M537" s="65"/>
      <c r="N537" s="63"/>
    </row>
    <row r="538" spans="1:14" ht="12.75">
      <c r="A538" s="68"/>
      <c r="B538" s="76" t="s">
        <v>3677</v>
      </c>
      <c r="C538" s="63"/>
      <c r="D538" s="64"/>
      <c r="E538" s="66"/>
      <c r="F538" s="66"/>
      <c r="G538" s="67"/>
      <c r="H538" s="67"/>
      <c r="I538" s="67"/>
      <c r="J538" s="67"/>
      <c r="K538" s="67"/>
      <c r="L538" s="65"/>
      <c r="M538" s="65"/>
      <c r="N538" s="63"/>
    </row>
    <row r="539" spans="1:14" ht="12.75">
      <c r="A539" s="68"/>
      <c r="B539" s="76" t="s">
        <v>3677</v>
      </c>
      <c r="C539" s="63"/>
      <c r="D539" s="64"/>
      <c r="E539" s="66"/>
      <c r="F539" s="66"/>
      <c r="G539" s="67"/>
      <c r="H539" s="67"/>
      <c r="I539" s="67"/>
      <c r="J539" s="67"/>
      <c r="K539" s="67"/>
      <c r="L539" s="65"/>
      <c r="M539" s="65"/>
      <c r="N539" s="63"/>
    </row>
    <row r="540" spans="1:14" ht="12.75">
      <c r="A540" s="68"/>
      <c r="B540" s="76" t="s">
        <v>3677</v>
      </c>
      <c r="C540" s="63"/>
      <c r="D540" s="64"/>
      <c r="E540" s="66"/>
      <c r="F540" s="66"/>
      <c r="G540" s="67"/>
      <c r="H540" s="67"/>
      <c r="I540" s="67"/>
      <c r="J540" s="67"/>
      <c r="K540" s="67"/>
      <c r="L540" s="65"/>
      <c r="M540" s="65"/>
      <c r="N540" s="63"/>
    </row>
    <row r="541" spans="1:14" ht="12.75">
      <c r="A541" s="68"/>
      <c r="B541" s="76" t="s">
        <v>3677</v>
      </c>
      <c r="C541" s="63"/>
      <c r="D541" s="64"/>
      <c r="E541" s="66"/>
      <c r="F541" s="66"/>
      <c r="G541" s="67"/>
      <c r="H541" s="67"/>
      <c r="I541" s="67"/>
      <c r="J541" s="67"/>
      <c r="K541" s="67"/>
      <c r="L541" s="65"/>
      <c r="M541" s="65"/>
      <c r="N541" s="63"/>
    </row>
    <row r="542" spans="1:14" ht="12.75">
      <c r="A542" s="68"/>
      <c r="B542" s="76" t="s">
        <v>3677</v>
      </c>
      <c r="C542" s="63"/>
      <c r="D542" s="64"/>
      <c r="E542" s="66"/>
      <c r="F542" s="66"/>
      <c r="G542" s="67"/>
      <c r="H542" s="67"/>
      <c r="I542" s="67"/>
      <c r="J542" s="67"/>
      <c r="K542" s="67"/>
      <c r="L542" s="65"/>
      <c r="M542" s="65"/>
      <c r="N542" s="63"/>
    </row>
    <row r="543" spans="1:14" ht="12.75">
      <c r="A543" s="68"/>
      <c r="B543" s="76" t="s">
        <v>3677</v>
      </c>
      <c r="C543" s="63"/>
      <c r="D543" s="64"/>
      <c r="E543" s="66"/>
      <c r="F543" s="66"/>
      <c r="G543" s="67"/>
      <c r="H543" s="67"/>
      <c r="I543" s="67"/>
      <c r="J543" s="67"/>
      <c r="K543" s="67"/>
      <c r="L543" s="65"/>
      <c r="M543" s="65"/>
      <c r="N543" s="63"/>
    </row>
    <row r="544" spans="1:14" ht="12.75">
      <c r="A544" s="68"/>
      <c r="B544" s="76" t="s">
        <v>3677</v>
      </c>
      <c r="C544" s="63"/>
      <c r="D544" s="64"/>
      <c r="E544" s="66"/>
      <c r="F544" s="66"/>
      <c r="G544" s="67"/>
      <c r="H544" s="67"/>
      <c r="I544" s="67"/>
      <c r="J544" s="67"/>
      <c r="K544" s="67"/>
      <c r="L544" s="65"/>
      <c r="M544" s="65"/>
      <c r="N544" s="63"/>
    </row>
    <row r="545" spans="1:14" ht="12.75">
      <c r="A545" s="68"/>
      <c r="B545" s="76" t="s">
        <v>3677</v>
      </c>
      <c r="C545" s="63"/>
      <c r="D545" s="64"/>
      <c r="E545" s="66"/>
      <c r="F545" s="66"/>
      <c r="G545" s="67"/>
      <c r="H545" s="67"/>
      <c r="I545" s="67"/>
      <c r="J545" s="67"/>
      <c r="K545" s="67"/>
      <c r="L545" s="65"/>
      <c r="M545" s="65"/>
      <c r="N545" s="63"/>
    </row>
    <row r="546" spans="1:14" ht="12.75">
      <c r="A546" s="68"/>
      <c r="B546" s="76" t="s">
        <v>3677</v>
      </c>
      <c r="C546" s="63"/>
      <c r="D546" s="64"/>
      <c r="E546" s="66"/>
      <c r="F546" s="66"/>
      <c r="G546" s="67"/>
      <c r="H546" s="67"/>
      <c r="I546" s="67"/>
      <c r="J546" s="67"/>
      <c r="K546" s="67"/>
      <c r="L546" s="65"/>
      <c r="M546" s="65"/>
      <c r="N546" s="63"/>
    </row>
    <row r="547" spans="1:14" ht="12.75">
      <c r="A547" s="68"/>
      <c r="B547" s="74" t="s">
        <v>3678</v>
      </c>
      <c r="C547" s="63"/>
      <c r="D547" s="64" t="s">
        <v>3679</v>
      </c>
      <c r="E547" s="64" t="s">
        <v>3680</v>
      </c>
      <c r="F547" s="64" t="s">
        <v>1663</v>
      </c>
      <c r="G547" s="65" t="s">
        <v>1664</v>
      </c>
      <c r="H547" s="65" t="s">
        <v>3681</v>
      </c>
      <c r="I547" s="65" t="s">
        <v>3682</v>
      </c>
      <c r="J547" s="65" t="s">
        <v>1667</v>
      </c>
      <c r="K547" s="65" t="s">
        <v>1668</v>
      </c>
      <c r="L547" s="65" t="s">
        <v>3683</v>
      </c>
      <c r="M547" s="65" t="s">
        <v>3684</v>
      </c>
      <c r="N547" s="63"/>
    </row>
    <row r="548" spans="1:14" ht="12.75">
      <c r="A548" s="68"/>
      <c r="B548" s="74" t="s">
        <v>3678</v>
      </c>
      <c r="C548" s="63"/>
      <c r="D548" s="64" t="s">
        <v>3685</v>
      </c>
      <c r="E548" s="64" t="s">
        <v>3686</v>
      </c>
      <c r="F548" s="64" t="s">
        <v>1663</v>
      </c>
      <c r="G548" s="65" t="s">
        <v>1664</v>
      </c>
      <c r="H548" s="65" t="s">
        <v>3450</v>
      </c>
      <c r="I548" s="65"/>
      <c r="J548" s="65" t="s">
        <v>1667</v>
      </c>
      <c r="K548" s="65" t="s">
        <v>1668</v>
      </c>
      <c r="L548" s="65" t="s">
        <v>3687</v>
      </c>
      <c r="M548" s="65" t="s">
        <v>3688</v>
      </c>
      <c r="N548" s="63"/>
    </row>
    <row r="549" spans="1:14" ht="12.75">
      <c r="A549" s="68"/>
      <c r="B549" s="74" t="s">
        <v>3678</v>
      </c>
      <c r="C549" s="63"/>
      <c r="D549" s="64" t="s">
        <v>3689</v>
      </c>
      <c r="E549" s="64" t="s">
        <v>3690</v>
      </c>
      <c r="F549" s="64" t="s">
        <v>1663</v>
      </c>
      <c r="G549" s="65" t="s">
        <v>1664</v>
      </c>
      <c r="H549" s="65" t="s">
        <v>3691</v>
      </c>
      <c r="I549" s="65" t="s">
        <v>3692</v>
      </c>
      <c r="J549" s="65" t="s">
        <v>1667</v>
      </c>
      <c r="K549" s="65" t="s">
        <v>1668</v>
      </c>
      <c r="L549" s="65" t="s">
        <v>3693</v>
      </c>
      <c r="M549" s="65" t="s">
        <v>3694</v>
      </c>
      <c r="N549" s="63"/>
    </row>
    <row r="550" spans="1:14" ht="12.75">
      <c r="A550" s="68"/>
      <c r="B550" s="74" t="s">
        <v>3678</v>
      </c>
      <c r="C550" s="63"/>
      <c r="D550" s="64" t="s">
        <v>3695</v>
      </c>
      <c r="E550" s="64" t="s">
        <v>3417</v>
      </c>
      <c r="F550" s="64" t="s">
        <v>1682</v>
      </c>
      <c r="G550" s="65" t="s">
        <v>1683</v>
      </c>
      <c r="H550" s="65" t="s">
        <v>3696</v>
      </c>
      <c r="I550" s="65" t="s">
        <v>3697</v>
      </c>
      <c r="J550" s="65" t="s">
        <v>1682</v>
      </c>
      <c r="K550" s="65" t="s">
        <v>1837</v>
      </c>
      <c r="L550" s="65">
        <v>31125404</v>
      </c>
      <c r="M550" s="65" t="s">
        <v>1687</v>
      </c>
      <c r="N550" s="63"/>
    </row>
    <row r="551" spans="1:14" ht="12.75">
      <c r="A551" s="68"/>
      <c r="B551" s="74" t="s">
        <v>3678</v>
      </c>
      <c r="C551" s="63"/>
      <c r="D551" s="64" t="s">
        <v>3698</v>
      </c>
      <c r="E551" s="64" t="s">
        <v>3699</v>
      </c>
      <c r="F551" s="64" t="s">
        <v>1673</v>
      </c>
      <c r="G551" s="65" t="s">
        <v>1674</v>
      </c>
      <c r="H551" s="65" t="s">
        <v>3700</v>
      </c>
      <c r="I551" s="65" t="s">
        <v>3701</v>
      </c>
      <c r="J551" s="65" t="s">
        <v>1673</v>
      </c>
      <c r="K551" s="65" t="s">
        <v>1928</v>
      </c>
      <c r="L551" s="65" t="s">
        <v>3702</v>
      </c>
      <c r="M551" s="65" t="s">
        <v>3703</v>
      </c>
      <c r="N551" s="63"/>
    </row>
    <row r="552" spans="1:14" ht="12.75">
      <c r="A552" s="68"/>
      <c r="B552" s="74" t="s">
        <v>3678</v>
      </c>
      <c r="C552" s="63"/>
      <c r="D552" s="64" t="s">
        <v>3704</v>
      </c>
      <c r="E552" s="64" t="s">
        <v>3705</v>
      </c>
      <c r="F552" s="64" t="s">
        <v>1663</v>
      </c>
      <c r="G552" s="65" t="s">
        <v>1664</v>
      </c>
      <c r="H552" s="65" t="s">
        <v>3706</v>
      </c>
      <c r="I552" s="65" t="s">
        <v>3707</v>
      </c>
      <c r="J552" s="65" t="s">
        <v>3708</v>
      </c>
      <c r="K552" s="65" t="s">
        <v>3709</v>
      </c>
      <c r="L552" s="65" t="s">
        <v>3710</v>
      </c>
      <c r="M552" s="65" t="s">
        <v>3711</v>
      </c>
      <c r="N552" s="63"/>
    </row>
    <row r="553" spans="1:14" ht="12.75">
      <c r="A553" s="68"/>
      <c r="B553" s="74" t="s">
        <v>3678</v>
      </c>
      <c r="C553" s="63"/>
      <c r="D553" s="64" t="s">
        <v>3712</v>
      </c>
      <c r="E553" s="64" t="s">
        <v>3713</v>
      </c>
      <c r="F553" s="64" t="s">
        <v>1663</v>
      </c>
      <c r="G553" s="65" t="s">
        <v>1664</v>
      </c>
      <c r="H553" s="65" t="s">
        <v>3714</v>
      </c>
      <c r="I553" s="65" t="s">
        <v>3715</v>
      </c>
      <c r="J553" s="65" t="s">
        <v>3708</v>
      </c>
      <c r="K553" s="65" t="s">
        <v>3716</v>
      </c>
      <c r="L553" s="65" t="s">
        <v>3717</v>
      </c>
      <c r="M553" s="65" t="s">
        <v>3718</v>
      </c>
      <c r="N553" s="63"/>
    </row>
    <row r="554" spans="1:14" ht="12.75">
      <c r="A554" s="68"/>
      <c r="B554" s="74" t="s">
        <v>3678</v>
      </c>
      <c r="C554" s="63"/>
      <c r="D554" s="64" t="s">
        <v>3719</v>
      </c>
      <c r="E554" s="64" t="s">
        <v>3720</v>
      </c>
      <c r="F554" s="64" t="s">
        <v>1663</v>
      </c>
      <c r="G554" s="65" t="s">
        <v>1664</v>
      </c>
      <c r="H554" s="65" t="s">
        <v>3721</v>
      </c>
      <c r="I554" s="65" t="s">
        <v>3722</v>
      </c>
      <c r="J554" s="65" t="s">
        <v>1667</v>
      </c>
      <c r="K554" s="65" t="s">
        <v>1668</v>
      </c>
      <c r="L554" s="65" t="s">
        <v>3723</v>
      </c>
      <c r="M554" s="65" t="s">
        <v>3724</v>
      </c>
      <c r="N554" s="63"/>
    </row>
    <row r="555" spans="1:14" ht="25.5">
      <c r="A555" s="68"/>
      <c r="B555" s="74" t="s">
        <v>3678</v>
      </c>
      <c r="C555" s="63"/>
      <c r="D555" s="64" t="s">
        <v>2718</v>
      </c>
      <c r="E555" s="64" t="s">
        <v>3725</v>
      </c>
      <c r="F555" s="64" t="s">
        <v>1673</v>
      </c>
      <c r="G555" s="65" t="s">
        <v>1674</v>
      </c>
      <c r="H555" s="65" t="s">
        <v>3726</v>
      </c>
      <c r="I555" s="65" t="s">
        <v>3727</v>
      </c>
      <c r="J555" s="65" t="s">
        <v>3579</v>
      </c>
      <c r="K555" s="363" t="s">
        <v>3728</v>
      </c>
      <c r="L555" s="363" t="s">
        <v>3729</v>
      </c>
      <c r="M555" s="363" t="s">
        <v>3730</v>
      </c>
      <c r="N555" s="63"/>
    </row>
    <row r="556" spans="1:14" ht="12.75">
      <c r="A556" s="68"/>
      <c r="B556" s="74" t="s">
        <v>3678</v>
      </c>
      <c r="C556" s="63"/>
      <c r="D556" s="64" t="s">
        <v>3731</v>
      </c>
      <c r="E556" s="64" t="s">
        <v>3732</v>
      </c>
      <c r="F556" s="64" t="s">
        <v>1673</v>
      </c>
      <c r="G556" s="65" t="s">
        <v>1674</v>
      </c>
      <c r="H556" s="65" t="s">
        <v>3733</v>
      </c>
      <c r="I556" s="65" t="s">
        <v>3734</v>
      </c>
      <c r="J556" s="65"/>
      <c r="K556" s="65"/>
      <c r="L556" s="65"/>
      <c r="M556" s="65"/>
      <c r="N556" s="63"/>
    </row>
    <row r="557" spans="1:14" ht="12.75">
      <c r="A557" s="68"/>
      <c r="B557" s="74" t="s">
        <v>3678</v>
      </c>
      <c r="C557" s="63"/>
      <c r="D557" s="64" t="s">
        <v>3735</v>
      </c>
      <c r="E557" s="64" t="s">
        <v>3736</v>
      </c>
      <c r="F557" s="64" t="s">
        <v>1663</v>
      </c>
      <c r="G557" s="65" t="s">
        <v>1664</v>
      </c>
      <c r="H557" s="65" t="s">
        <v>3737</v>
      </c>
      <c r="I557" s="65" t="s">
        <v>3738</v>
      </c>
      <c r="J557" s="65" t="s">
        <v>1667</v>
      </c>
      <c r="K557" s="65" t="s">
        <v>3739</v>
      </c>
      <c r="L557" s="65" t="s">
        <v>3740</v>
      </c>
      <c r="M557" s="65" t="s">
        <v>3741</v>
      </c>
      <c r="N557" s="63"/>
    </row>
    <row r="558" spans="1:14" ht="12.75">
      <c r="A558" s="68"/>
      <c r="B558" s="74" t="s">
        <v>3678</v>
      </c>
      <c r="C558" s="63"/>
      <c r="D558" s="64" t="s">
        <v>3742</v>
      </c>
      <c r="E558" s="64" t="s">
        <v>3743</v>
      </c>
      <c r="F558" s="64" t="s">
        <v>1673</v>
      </c>
      <c r="G558" s="65" t="s">
        <v>1674</v>
      </c>
      <c r="H558" s="65" t="s">
        <v>3744</v>
      </c>
      <c r="I558" s="65" t="s">
        <v>3745</v>
      </c>
      <c r="J558" s="65" t="s">
        <v>3746</v>
      </c>
      <c r="K558" s="65"/>
      <c r="L558" s="65"/>
      <c r="M558" s="65"/>
      <c r="N558" s="63"/>
    </row>
    <row r="559" spans="1:14" ht="12.75">
      <c r="A559" s="68"/>
      <c r="B559" s="74" t="s">
        <v>3678</v>
      </c>
      <c r="C559" s="63"/>
      <c r="D559" s="64" t="s">
        <v>3747</v>
      </c>
      <c r="E559" s="64" t="s">
        <v>3748</v>
      </c>
      <c r="F559" s="64" t="s">
        <v>1673</v>
      </c>
      <c r="G559" s="65" t="s">
        <v>1674</v>
      </c>
      <c r="H559" s="65" t="s">
        <v>3749</v>
      </c>
      <c r="I559" s="65" t="s">
        <v>3750</v>
      </c>
      <c r="J559" s="65" t="s">
        <v>3751</v>
      </c>
      <c r="K559" s="65" t="s">
        <v>3752</v>
      </c>
      <c r="L559" s="65" t="s">
        <v>3753</v>
      </c>
      <c r="M559" s="65" t="s">
        <v>3754</v>
      </c>
      <c r="N559" s="63"/>
    </row>
    <row r="560" spans="1:14" ht="12.75">
      <c r="A560" s="68"/>
      <c r="B560" s="74" t="s">
        <v>3678</v>
      </c>
      <c r="C560" s="63"/>
      <c r="D560" s="64" t="s">
        <v>3755</v>
      </c>
      <c r="E560" s="64" t="s">
        <v>3756</v>
      </c>
      <c r="F560" s="64" t="s">
        <v>1673</v>
      </c>
      <c r="G560" s="65" t="s">
        <v>1674</v>
      </c>
      <c r="H560" s="65" t="s">
        <v>3616</v>
      </c>
      <c r="I560" s="65" t="s">
        <v>3617</v>
      </c>
      <c r="J560" s="65" t="s">
        <v>3757</v>
      </c>
      <c r="K560" s="65" t="s">
        <v>3758</v>
      </c>
      <c r="L560" s="65" t="s">
        <v>3753</v>
      </c>
      <c r="M560" s="65" t="s">
        <v>3759</v>
      </c>
      <c r="N560" s="63"/>
    </row>
    <row r="561" spans="1:14" ht="12.75">
      <c r="A561" s="68"/>
      <c r="B561" s="74" t="s">
        <v>3678</v>
      </c>
      <c r="C561" s="63"/>
      <c r="D561" s="64" t="s">
        <v>3760</v>
      </c>
      <c r="E561" s="64" t="s">
        <v>3761</v>
      </c>
      <c r="F561" s="64" t="s">
        <v>1673</v>
      </c>
      <c r="G561" s="65" t="s">
        <v>1674</v>
      </c>
      <c r="H561" s="65" t="s">
        <v>3762</v>
      </c>
      <c r="I561" s="65" t="s">
        <v>3763</v>
      </c>
      <c r="J561" s="65" t="s">
        <v>3751</v>
      </c>
      <c r="K561" s="65"/>
      <c r="L561" s="65" t="s">
        <v>3764</v>
      </c>
      <c r="M561" s="65" t="s">
        <v>3765</v>
      </c>
      <c r="N561" s="63"/>
    </row>
    <row r="562" spans="1:14" ht="12.75">
      <c r="A562" s="68"/>
      <c r="B562" s="74" t="s">
        <v>3766</v>
      </c>
      <c r="C562" s="63"/>
      <c r="D562" s="64" t="s">
        <v>3767</v>
      </c>
      <c r="E562" s="64" t="s">
        <v>3768</v>
      </c>
      <c r="F562" s="64" t="s">
        <v>1663</v>
      </c>
      <c r="G562" s="65" t="s">
        <v>1664</v>
      </c>
      <c r="H562" s="65" t="s">
        <v>2574</v>
      </c>
      <c r="I562" s="65" t="s">
        <v>2575</v>
      </c>
      <c r="J562" s="65" t="s">
        <v>1667</v>
      </c>
      <c r="K562" s="65" t="s">
        <v>1668</v>
      </c>
      <c r="L562" s="65" t="s">
        <v>3769</v>
      </c>
      <c r="M562" s="65" t="s">
        <v>3770</v>
      </c>
      <c r="N562" s="63"/>
    </row>
    <row r="563" spans="1:14" ht="25.5">
      <c r="A563" s="68"/>
      <c r="B563" s="74" t="s">
        <v>3771</v>
      </c>
      <c r="C563" s="63"/>
      <c r="D563" s="64" t="s">
        <v>3772</v>
      </c>
      <c r="E563" s="66" t="s">
        <v>3773</v>
      </c>
      <c r="F563" s="64" t="s">
        <v>1663</v>
      </c>
      <c r="G563" s="65" t="s">
        <v>1664</v>
      </c>
      <c r="H563" s="65" t="s">
        <v>3774</v>
      </c>
      <c r="I563" s="65" t="s">
        <v>3775</v>
      </c>
      <c r="J563" s="363" t="s">
        <v>3708</v>
      </c>
      <c r="K563" s="363" t="s">
        <v>3776</v>
      </c>
      <c r="L563" s="65" t="s">
        <v>3777</v>
      </c>
      <c r="M563" s="65" t="s">
        <v>3778</v>
      </c>
      <c r="N563" s="63"/>
    </row>
    <row r="564" spans="1:14" ht="12.75">
      <c r="A564" s="68"/>
      <c r="B564" s="74" t="s">
        <v>3771</v>
      </c>
      <c r="C564" s="63"/>
      <c r="D564" s="64" t="s">
        <v>3779</v>
      </c>
      <c r="E564" s="66" t="s">
        <v>3780</v>
      </c>
      <c r="F564" s="64" t="s">
        <v>1663</v>
      </c>
      <c r="G564" s="65" t="s">
        <v>1664</v>
      </c>
      <c r="H564" s="65" t="s">
        <v>3781</v>
      </c>
      <c r="I564" s="65" t="s">
        <v>3782</v>
      </c>
      <c r="J564" s="65" t="s">
        <v>3564</v>
      </c>
      <c r="K564" s="65" t="s">
        <v>3783</v>
      </c>
      <c r="L564" s="65" t="s">
        <v>3784</v>
      </c>
      <c r="M564" s="65" t="s">
        <v>3785</v>
      </c>
      <c r="N564" s="63"/>
    </row>
    <row r="565" spans="1:14" ht="12.75">
      <c r="A565" s="68"/>
      <c r="B565" s="74" t="s">
        <v>3771</v>
      </c>
      <c r="C565" s="63"/>
      <c r="D565" s="64" t="s">
        <v>3786</v>
      </c>
      <c r="E565" s="66" t="s">
        <v>3787</v>
      </c>
      <c r="F565" s="64" t="s">
        <v>1673</v>
      </c>
      <c r="G565" s="65" t="s">
        <v>1674</v>
      </c>
      <c r="H565" s="65" t="s">
        <v>3788</v>
      </c>
      <c r="I565" s="65" t="s">
        <v>3789</v>
      </c>
      <c r="J565" s="65" t="s">
        <v>1673</v>
      </c>
      <c r="K565" s="65" t="s">
        <v>1928</v>
      </c>
      <c r="L565" s="65" t="s">
        <v>3790</v>
      </c>
      <c r="M565" s="65" t="s">
        <v>3791</v>
      </c>
      <c r="N565" s="63"/>
    </row>
    <row r="566" spans="1:14" ht="12.75">
      <c r="A566" s="68"/>
      <c r="B566" s="74" t="s">
        <v>3771</v>
      </c>
      <c r="C566" s="63"/>
      <c r="D566" s="64" t="s">
        <v>3792</v>
      </c>
      <c r="E566" s="66" t="s">
        <v>3793</v>
      </c>
      <c r="F566" s="64" t="s">
        <v>1663</v>
      </c>
      <c r="G566" s="65" t="s">
        <v>1664</v>
      </c>
      <c r="H566" s="65" t="s">
        <v>3794</v>
      </c>
      <c r="I566" s="65" t="s">
        <v>3795</v>
      </c>
      <c r="J566" s="65" t="s">
        <v>1667</v>
      </c>
      <c r="K566" s="65" t="s">
        <v>1668</v>
      </c>
      <c r="L566" s="65" t="s">
        <v>3796</v>
      </c>
      <c r="M566" s="65" t="s">
        <v>3797</v>
      </c>
      <c r="N566" s="63"/>
    </row>
    <row r="567" spans="1:14" ht="25.5">
      <c r="A567" s="68"/>
      <c r="B567" s="74" t="s">
        <v>3771</v>
      </c>
      <c r="C567" s="63"/>
      <c r="D567" s="64" t="s">
        <v>3798</v>
      </c>
      <c r="E567" s="66" t="s">
        <v>3799</v>
      </c>
      <c r="F567" s="64" t="s">
        <v>1673</v>
      </c>
      <c r="G567" s="65" t="s">
        <v>1674</v>
      </c>
      <c r="H567" s="65" t="s">
        <v>3800</v>
      </c>
      <c r="I567" s="65" t="s">
        <v>3801</v>
      </c>
      <c r="J567" s="65" t="s">
        <v>3802</v>
      </c>
      <c r="K567" s="363" t="s">
        <v>3803</v>
      </c>
      <c r="L567" s="363" t="s">
        <v>3804</v>
      </c>
      <c r="M567" s="363" t="s">
        <v>3805</v>
      </c>
      <c r="N567" s="63"/>
    </row>
    <row r="568" spans="1:14" ht="25.5">
      <c r="A568" s="68"/>
      <c r="B568" s="74" t="s">
        <v>3771</v>
      </c>
      <c r="C568" s="63"/>
      <c r="D568" s="64" t="s">
        <v>3806</v>
      </c>
      <c r="E568" s="66" t="s">
        <v>3807</v>
      </c>
      <c r="F568" s="64" t="s">
        <v>1673</v>
      </c>
      <c r="G568" s="65" t="s">
        <v>1674</v>
      </c>
      <c r="H568" s="65" t="s">
        <v>3808</v>
      </c>
      <c r="I568" s="65" t="s">
        <v>3809</v>
      </c>
      <c r="J568" s="65" t="s">
        <v>3810</v>
      </c>
      <c r="K568" s="65" t="s">
        <v>3811</v>
      </c>
      <c r="L568" s="363" t="s">
        <v>3812</v>
      </c>
      <c r="M568" s="363" t="s">
        <v>3813</v>
      </c>
      <c r="N568" s="63"/>
    </row>
    <row r="569" spans="1:14" ht="25.5">
      <c r="A569" s="68"/>
      <c r="B569" s="74" t="s">
        <v>3771</v>
      </c>
      <c r="C569" s="63"/>
      <c r="D569" s="64" t="s">
        <v>3814</v>
      </c>
      <c r="E569" s="66" t="s">
        <v>3815</v>
      </c>
      <c r="F569" s="64" t="s">
        <v>1673</v>
      </c>
      <c r="G569" s="65" t="s">
        <v>1674</v>
      </c>
      <c r="H569" s="65" t="s">
        <v>3816</v>
      </c>
      <c r="I569" s="65" t="s">
        <v>3817</v>
      </c>
      <c r="J569" s="65" t="s">
        <v>3579</v>
      </c>
      <c r="K569" s="65" t="s">
        <v>3811</v>
      </c>
      <c r="L569" s="363" t="s">
        <v>3818</v>
      </c>
      <c r="M569" s="363" t="s">
        <v>3819</v>
      </c>
      <c r="N569" s="63"/>
    </row>
    <row r="570" spans="1:14" ht="12.75">
      <c r="A570" s="68"/>
      <c r="B570" s="74" t="s">
        <v>3771</v>
      </c>
      <c r="C570" s="63"/>
      <c r="D570" s="64" t="s">
        <v>3820</v>
      </c>
      <c r="E570" s="66" t="s">
        <v>3821</v>
      </c>
      <c r="F570" s="64" t="s">
        <v>1673</v>
      </c>
      <c r="G570" s="65" t="s">
        <v>1674</v>
      </c>
      <c r="H570" s="65" t="s">
        <v>3822</v>
      </c>
      <c r="I570" s="65" t="s">
        <v>3823</v>
      </c>
      <c r="J570" s="65" t="s">
        <v>1673</v>
      </c>
      <c r="K570" s="65" t="s">
        <v>1928</v>
      </c>
      <c r="L570" s="65" t="s">
        <v>3824</v>
      </c>
      <c r="M570" s="65" t="s">
        <v>3825</v>
      </c>
      <c r="N570" s="63"/>
    </row>
    <row r="571" spans="1:14" ht="25.5">
      <c r="A571" s="68"/>
      <c r="B571" s="74" t="s">
        <v>3771</v>
      </c>
      <c r="C571" s="63"/>
      <c r="D571" s="64" t="s">
        <v>3826</v>
      </c>
      <c r="E571" s="66" t="s">
        <v>3827</v>
      </c>
      <c r="F571" s="64" t="s">
        <v>1673</v>
      </c>
      <c r="G571" s="65" t="s">
        <v>1674</v>
      </c>
      <c r="H571" s="65" t="s">
        <v>3828</v>
      </c>
      <c r="I571" s="65" t="s">
        <v>3829</v>
      </c>
      <c r="J571" s="65" t="s">
        <v>3579</v>
      </c>
      <c r="K571" s="363" t="s">
        <v>3580</v>
      </c>
      <c r="L571" s="363" t="s">
        <v>3830</v>
      </c>
      <c r="M571" s="363" t="s">
        <v>3831</v>
      </c>
      <c r="N571" s="63"/>
    </row>
    <row r="572" spans="1:14" ht="25.5">
      <c r="A572" s="68"/>
      <c r="B572" s="74" t="s">
        <v>3771</v>
      </c>
      <c r="C572" s="63"/>
      <c r="D572" s="64" t="s">
        <v>3832</v>
      </c>
      <c r="E572" s="66" t="s">
        <v>3833</v>
      </c>
      <c r="F572" s="64" t="s">
        <v>1673</v>
      </c>
      <c r="G572" s="65" t="s">
        <v>1674</v>
      </c>
      <c r="H572" s="65" t="s">
        <v>3834</v>
      </c>
      <c r="I572" s="65" t="s">
        <v>3835</v>
      </c>
      <c r="J572" s="363" t="s">
        <v>3579</v>
      </c>
      <c r="K572" s="363" t="s">
        <v>3836</v>
      </c>
      <c r="L572" s="363" t="s">
        <v>3837</v>
      </c>
      <c r="M572" s="363" t="s">
        <v>3838</v>
      </c>
      <c r="N572" s="63"/>
    </row>
    <row r="573" spans="1:14" ht="25.5">
      <c r="A573" s="68"/>
      <c r="B573" s="74" t="s">
        <v>3771</v>
      </c>
      <c r="C573" s="63"/>
      <c r="D573" s="64" t="s">
        <v>3839</v>
      </c>
      <c r="E573" s="66" t="s">
        <v>3840</v>
      </c>
      <c r="F573" s="64" t="s">
        <v>1673</v>
      </c>
      <c r="G573" s="65" t="s">
        <v>1674</v>
      </c>
      <c r="H573" s="65" t="s">
        <v>3841</v>
      </c>
      <c r="I573" s="65" t="s">
        <v>3842</v>
      </c>
      <c r="J573" s="65" t="s">
        <v>3802</v>
      </c>
      <c r="K573" s="363" t="s">
        <v>3803</v>
      </c>
      <c r="L573" s="363" t="s">
        <v>3843</v>
      </c>
      <c r="M573" s="363" t="s">
        <v>3844</v>
      </c>
      <c r="N573" s="63"/>
    </row>
    <row r="574" spans="1:14" ht="12.75">
      <c r="A574" s="68"/>
      <c r="B574" s="74" t="s">
        <v>3771</v>
      </c>
      <c r="C574" s="63"/>
      <c r="D574" s="64" t="s">
        <v>3845</v>
      </c>
      <c r="E574" s="66" t="s">
        <v>3846</v>
      </c>
      <c r="F574" s="64" t="s">
        <v>1673</v>
      </c>
      <c r="G574" s="65" t="s">
        <v>1674</v>
      </c>
      <c r="H574" s="65" t="s">
        <v>3847</v>
      </c>
      <c r="I574" s="65" t="s">
        <v>3750</v>
      </c>
      <c r="J574" s="65" t="s">
        <v>1673</v>
      </c>
      <c r="K574" s="65" t="s">
        <v>1928</v>
      </c>
      <c r="L574" s="65" t="s">
        <v>3848</v>
      </c>
      <c r="M574" s="65" t="s">
        <v>3849</v>
      </c>
      <c r="N574" s="63"/>
    </row>
    <row r="575" spans="1:14" ht="12.75">
      <c r="A575" s="68"/>
      <c r="B575" s="74" t="s">
        <v>3771</v>
      </c>
      <c r="C575" s="63"/>
      <c r="D575" s="64" t="s">
        <v>3850</v>
      </c>
      <c r="E575" s="66" t="s">
        <v>3851</v>
      </c>
      <c r="F575" s="64" t="s">
        <v>1663</v>
      </c>
      <c r="G575" s="65" t="s">
        <v>1664</v>
      </c>
      <c r="H575" s="65" t="s">
        <v>3852</v>
      </c>
      <c r="I575" s="65" t="s">
        <v>3853</v>
      </c>
      <c r="J575" s="65" t="s">
        <v>1667</v>
      </c>
      <c r="K575" s="65" t="s">
        <v>1668</v>
      </c>
      <c r="L575" s="65" t="s">
        <v>3854</v>
      </c>
      <c r="M575" s="65" t="s">
        <v>3855</v>
      </c>
      <c r="N575" s="63"/>
    </row>
    <row r="576" spans="1:14" ht="12.75">
      <c r="A576" s="68"/>
      <c r="B576" s="74" t="s">
        <v>3771</v>
      </c>
      <c r="C576" s="63"/>
      <c r="D576" s="64" t="s">
        <v>3331</v>
      </c>
      <c r="E576" s="66" t="s">
        <v>3856</v>
      </c>
      <c r="F576" s="64" t="s">
        <v>1673</v>
      </c>
      <c r="G576" s="65" t="s">
        <v>1674</v>
      </c>
      <c r="H576" s="65" t="s">
        <v>3857</v>
      </c>
      <c r="I576" s="65" t="s">
        <v>2291</v>
      </c>
      <c r="J576" s="65" t="s">
        <v>1673</v>
      </c>
      <c r="K576" s="67" t="s">
        <v>1928</v>
      </c>
      <c r="L576" s="65" t="s">
        <v>3858</v>
      </c>
      <c r="M576" s="65" t="s">
        <v>3859</v>
      </c>
      <c r="N576" s="63"/>
    </row>
    <row r="577" spans="1:14" ht="12.75">
      <c r="A577" s="68"/>
      <c r="B577" s="74" t="s">
        <v>3771</v>
      </c>
      <c r="C577" s="63"/>
      <c r="D577" s="64" t="s">
        <v>3860</v>
      </c>
      <c r="E577" s="66" t="s">
        <v>3861</v>
      </c>
      <c r="F577" s="64" t="s">
        <v>1673</v>
      </c>
      <c r="G577" s="65" t="s">
        <v>1674</v>
      </c>
      <c r="H577" s="65" t="s">
        <v>3862</v>
      </c>
      <c r="I577" s="65" t="s">
        <v>3863</v>
      </c>
      <c r="J577" s="65" t="s">
        <v>1673</v>
      </c>
      <c r="K577" s="65" t="s">
        <v>1928</v>
      </c>
      <c r="L577" s="65" t="s">
        <v>3864</v>
      </c>
      <c r="M577" s="65" t="s">
        <v>3865</v>
      </c>
      <c r="N577" s="63"/>
    </row>
    <row r="578" spans="1:14" ht="12.75">
      <c r="A578" s="68"/>
      <c r="B578" s="53"/>
      <c r="C578" s="63"/>
      <c r="D578" s="64" t="s">
        <v>3860</v>
      </c>
      <c r="E578" s="63"/>
      <c r="F578" s="64"/>
      <c r="G578" s="67"/>
      <c r="H578" s="67"/>
      <c r="I578" s="67"/>
      <c r="J578" s="67"/>
      <c r="K578" s="67"/>
      <c r="L578" s="65"/>
      <c r="M578" s="65"/>
      <c r="N578" s="63"/>
    </row>
    <row r="589" spans="1:14" ht="12.75">
      <c r="F589" s="64" t="s">
        <v>1673</v>
      </c>
      <c r="G589" s="65" t="s">
        <v>1674</v>
      </c>
      <c r="H589" s="65" t="s">
        <v>3866</v>
      </c>
      <c r="I589" s="65" t="s">
        <v>3867</v>
      </c>
      <c r="J589" s="65" t="s">
        <v>1673</v>
      </c>
      <c r="K589" s="65" t="s">
        <v>1928</v>
      </c>
      <c r="L589" s="65" t="s">
        <v>3868</v>
      </c>
      <c r="M589" s="65" t="s">
        <v>3869</v>
      </c>
    </row>
    <row r="590" spans="1:14" ht="12.75">
      <c r="F590" s="66"/>
      <c r="G590" s="67"/>
      <c r="H590" s="67"/>
      <c r="I590" s="67"/>
      <c r="J590" s="67"/>
      <c r="K590" s="67"/>
      <c r="L590" s="65"/>
      <c r="M590" s="65"/>
    </row>
    <row r="591" spans="1:14" ht="12.75">
      <c r="F591" s="86" t="s">
        <v>1673</v>
      </c>
      <c r="G591" s="67" t="s">
        <v>1674</v>
      </c>
      <c r="H591" s="67" t="s">
        <v>3870</v>
      </c>
      <c r="I591" s="67" t="s">
        <v>3871</v>
      </c>
      <c r="J591" s="67" t="s">
        <v>1673</v>
      </c>
      <c r="K591" s="67" t="s">
        <v>1928</v>
      </c>
      <c r="L591" s="65" t="s">
        <v>3702</v>
      </c>
      <c r="M591" s="87" t="s">
        <v>3703</v>
      </c>
    </row>
    <row r="592" spans="1:14" ht="12.75">
      <c r="F592" s="86" t="s">
        <v>1673</v>
      </c>
      <c r="G592" s="67" t="s">
        <v>1674</v>
      </c>
      <c r="H592" s="67" t="s">
        <v>3872</v>
      </c>
      <c r="I592" s="67" t="s">
        <v>3873</v>
      </c>
      <c r="J592" s="67" t="s">
        <v>1673</v>
      </c>
      <c r="K592" s="67" t="s">
        <v>1928</v>
      </c>
      <c r="L592" s="65" t="s">
        <v>3874</v>
      </c>
      <c r="M592" s="87" t="s">
        <v>3875</v>
      </c>
    </row>
    <row r="593" spans="6:13" ht="12.75">
      <c r="F593" s="86" t="s">
        <v>1673</v>
      </c>
      <c r="G593" s="67" t="s">
        <v>1674</v>
      </c>
      <c r="H593" s="67" t="s">
        <v>3876</v>
      </c>
      <c r="I593" s="67" t="s">
        <v>3877</v>
      </c>
      <c r="J593" s="67" t="s">
        <v>1673</v>
      </c>
      <c r="K593" s="67" t="s">
        <v>1928</v>
      </c>
      <c r="L593" s="65" t="s">
        <v>3878</v>
      </c>
      <c r="M593" s="65" t="s">
        <v>3879</v>
      </c>
    </row>
    <row r="594" spans="6:13" ht="12.75">
      <c r="F594" s="86" t="s">
        <v>1673</v>
      </c>
      <c r="G594" s="67" t="s">
        <v>1674</v>
      </c>
      <c r="H594" s="67" t="s">
        <v>3880</v>
      </c>
      <c r="I594" s="67" t="s">
        <v>3881</v>
      </c>
      <c r="J594" s="67" t="s">
        <v>1673</v>
      </c>
      <c r="K594" s="67" t="s">
        <v>1928</v>
      </c>
      <c r="L594" s="65" t="s">
        <v>3882</v>
      </c>
      <c r="M594" s="65" t="s">
        <v>3883</v>
      </c>
    </row>
    <row r="595" spans="6:13" ht="12.75">
      <c r="F595" s="86" t="s">
        <v>1673</v>
      </c>
      <c r="G595" s="67" t="s">
        <v>1674</v>
      </c>
      <c r="H595" s="67" t="s">
        <v>3884</v>
      </c>
      <c r="I595" s="67" t="s">
        <v>3885</v>
      </c>
      <c r="J595" s="67" t="s">
        <v>1673</v>
      </c>
      <c r="K595" s="67" t="s">
        <v>1928</v>
      </c>
      <c r="L595" s="65" t="s">
        <v>3886</v>
      </c>
      <c r="M595" s="65" t="s">
        <v>3887</v>
      </c>
    </row>
    <row r="596" spans="6:13" ht="12.75">
      <c r="F596" s="86" t="s">
        <v>1673</v>
      </c>
      <c r="G596" s="67" t="s">
        <v>1674</v>
      </c>
      <c r="H596" s="67" t="s">
        <v>3888</v>
      </c>
      <c r="I596" s="67" t="s">
        <v>3889</v>
      </c>
      <c r="J596" s="67" t="s">
        <v>1673</v>
      </c>
      <c r="K596" s="67" t="s">
        <v>1928</v>
      </c>
      <c r="L596" s="65" t="s">
        <v>3890</v>
      </c>
      <c r="M596" s="65" t="s">
        <v>3891</v>
      </c>
    </row>
    <row r="597" spans="6:13" ht="12.75">
      <c r="F597" s="86" t="s">
        <v>1673</v>
      </c>
      <c r="G597" s="67" t="s">
        <v>1674</v>
      </c>
      <c r="H597" s="67" t="s">
        <v>3892</v>
      </c>
      <c r="I597" s="67" t="s">
        <v>3763</v>
      </c>
      <c r="J597" s="67" t="s">
        <v>1673</v>
      </c>
      <c r="K597" s="67" t="s">
        <v>1928</v>
      </c>
      <c r="L597" s="65" t="s">
        <v>3893</v>
      </c>
      <c r="M597" s="65" t="s">
        <v>3894</v>
      </c>
    </row>
    <row r="598" spans="6:13" ht="12.75">
      <c r="F598" s="86" t="s">
        <v>1673</v>
      </c>
      <c r="G598" s="67" t="s">
        <v>1674</v>
      </c>
      <c r="H598" s="88" t="s">
        <v>3895</v>
      </c>
      <c r="I598" s="67" t="s">
        <v>3896</v>
      </c>
      <c r="J598" s="67" t="s">
        <v>1673</v>
      </c>
      <c r="K598" s="67" t="s">
        <v>1928</v>
      </c>
      <c r="L598" s="65" t="s">
        <v>3897</v>
      </c>
      <c r="M598" s="87" t="s">
        <v>3898</v>
      </c>
    </row>
    <row r="599" spans="6:13" ht="12.75">
      <c r="F599" s="86" t="s">
        <v>1673</v>
      </c>
      <c r="G599" s="88" t="s">
        <v>1674</v>
      </c>
      <c r="H599" s="88" t="s">
        <v>3671</v>
      </c>
      <c r="I599" s="88" t="s">
        <v>3899</v>
      </c>
      <c r="J599" s="67" t="s">
        <v>1673</v>
      </c>
      <c r="K599" s="67" t="s">
        <v>1928</v>
      </c>
      <c r="L599" s="65" t="s">
        <v>3900</v>
      </c>
      <c r="M599" s="65" t="s">
        <v>3901</v>
      </c>
    </row>
    <row r="600" spans="6:13" ht="12.75">
      <c r="F600" s="89"/>
      <c r="G600" s="90"/>
      <c r="H600" s="90"/>
      <c r="I600" s="72"/>
      <c r="J600" s="67" t="s">
        <v>1673</v>
      </c>
      <c r="K600" s="67" t="s">
        <v>1928</v>
      </c>
      <c r="L600" s="65" t="s">
        <v>3902</v>
      </c>
      <c r="M600" s="88" t="s">
        <v>3903</v>
      </c>
    </row>
    <row r="601" spans="6:13" ht="12.75">
      <c r="F601" s="89"/>
      <c r="G601" s="90"/>
      <c r="H601" s="90"/>
      <c r="I601" s="72"/>
      <c r="J601" s="88" t="s">
        <v>1673</v>
      </c>
      <c r="K601" s="88" t="s">
        <v>1928</v>
      </c>
      <c r="L601" s="88" t="s">
        <v>3904</v>
      </c>
      <c r="M601" s="88" t="s">
        <v>3905</v>
      </c>
    </row>
    <row r="602" spans="6:13" ht="12.75">
      <c r="F602" s="91"/>
      <c r="G602" s="92"/>
      <c r="H602" s="92"/>
      <c r="I602" s="92"/>
      <c r="J602" s="92"/>
      <c r="K602" s="92"/>
      <c r="L602" s="82"/>
      <c r="M602" s="65"/>
    </row>
    <row r="603" spans="6:13" ht="12.75">
      <c r="F603" s="66"/>
      <c r="G603" s="67"/>
      <c r="H603" s="67"/>
      <c r="I603" s="67"/>
      <c r="J603" s="67"/>
      <c r="K603" s="67"/>
      <c r="L603" s="65"/>
      <c r="M603" s="65"/>
    </row>
    <row r="604" spans="6:13" ht="12.75">
      <c r="F604" s="66" t="s">
        <v>1663</v>
      </c>
      <c r="G604" s="88" t="s">
        <v>1664</v>
      </c>
      <c r="H604" s="67" t="s">
        <v>3906</v>
      </c>
      <c r="I604" s="67" t="s">
        <v>2278</v>
      </c>
      <c r="J604" s="67" t="s">
        <v>1667</v>
      </c>
      <c r="K604" s="88" t="s">
        <v>1668</v>
      </c>
      <c r="L604" s="65" t="s">
        <v>3907</v>
      </c>
      <c r="M604" s="65"/>
    </row>
    <row r="605" spans="6:13" ht="12.75">
      <c r="F605" s="66" t="s">
        <v>1663</v>
      </c>
      <c r="G605" s="88" t="s">
        <v>1664</v>
      </c>
      <c r="H605" s="67" t="s">
        <v>3908</v>
      </c>
      <c r="I605" s="67" t="s">
        <v>3909</v>
      </c>
      <c r="J605" s="67" t="s">
        <v>1667</v>
      </c>
      <c r="K605" s="88" t="s">
        <v>1668</v>
      </c>
      <c r="L605" s="65" t="s">
        <v>3910</v>
      </c>
      <c r="M605" s="65"/>
    </row>
    <row r="606" spans="6:13" ht="12.75">
      <c r="F606" s="66" t="s">
        <v>1663</v>
      </c>
      <c r="G606" s="88" t="s">
        <v>1664</v>
      </c>
      <c r="H606" s="88" t="s">
        <v>3911</v>
      </c>
      <c r="I606" s="88" t="s">
        <v>3419</v>
      </c>
      <c r="J606" s="67" t="s">
        <v>1667</v>
      </c>
      <c r="K606" s="88" t="s">
        <v>1668</v>
      </c>
      <c r="L606" s="88" t="s">
        <v>3769</v>
      </c>
      <c r="M606" s="65"/>
    </row>
    <row r="607" spans="6:13" ht="12.75">
      <c r="F607" s="66" t="s">
        <v>1663</v>
      </c>
      <c r="G607" s="88" t="s">
        <v>1664</v>
      </c>
      <c r="H607" s="88" t="s">
        <v>3912</v>
      </c>
      <c r="I607" s="88" t="s">
        <v>3913</v>
      </c>
      <c r="J607" s="67" t="s">
        <v>1667</v>
      </c>
      <c r="K607" s="88" t="s">
        <v>1668</v>
      </c>
      <c r="L607" s="88" t="s">
        <v>3914</v>
      </c>
      <c r="M607" s="65"/>
    </row>
    <row r="608" spans="6:13" ht="12.75">
      <c r="F608" s="66" t="s">
        <v>1663</v>
      </c>
      <c r="G608" s="88" t="s">
        <v>1664</v>
      </c>
      <c r="H608" s="88" t="s">
        <v>3915</v>
      </c>
      <c r="I608" s="88" t="s">
        <v>3916</v>
      </c>
      <c r="J608" s="67" t="s">
        <v>1667</v>
      </c>
      <c r="K608" s="88" t="s">
        <v>1668</v>
      </c>
      <c r="L608" s="88" t="s">
        <v>3917</v>
      </c>
      <c r="M608" s="65"/>
    </row>
    <row r="609" spans="6:13" ht="12.75">
      <c r="F609" s="66" t="s">
        <v>1663</v>
      </c>
      <c r="G609" s="88" t="s">
        <v>1664</v>
      </c>
      <c r="H609" s="88" t="s">
        <v>3918</v>
      </c>
      <c r="I609" s="88" t="s">
        <v>3919</v>
      </c>
      <c r="J609" s="67" t="s">
        <v>1667</v>
      </c>
      <c r="K609" s="88" t="s">
        <v>1668</v>
      </c>
      <c r="L609" s="88" t="s">
        <v>3920</v>
      </c>
      <c r="M609" s="65"/>
    </row>
    <row r="610" spans="6:13" ht="12.75">
      <c r="F610" s="66" t="s">
        <v>1663</v>
      </c>
      <c r="G610" s="88" t="s">
        <v>1664</v>
      </c>
      <c r="H610" s="67" t="s">
        <v>3921</v>
      </c>
      <c r="I610" s="67" t="s">
        <v>3922</v>
      </c>
      <c r="J610" s="67" t="s">
        <v>1667</v>
      </c>
      <c r="K610" s="88" t="s">
        <v>1668</v>
      </c>
      <c r="L610" s="88" t="s">
        <v>3923</v>
      </c>
      <c r="M610" s="65"/>
    </row>
    <row r="611" spans="6:13" ht="12.75">
      <c r="F611" s="66" t="s">
        <v>1663</v>
      </c>
      <c r="G611" s="88" t="s">
        <v>1664</v>
      </c>
      <c r="H611" s="88" t="s">
        <v>3924</v>
      </c>
      <c r="I611" s="88" t="s">
        <v>3925</v>
      </c>
      <c r="J611" s="67" t="s">
        <v>1667</v>
      </c>
      <c r="K611" s="88" t="s">
        <v>1668</v>
      </c>
      <c r="L611" s="88" t="s">
        <v>3926</v>
      </c>
      <c r="M611" s="65"/>
    </row>
    <row r="612" spans="6:13" ht="12.75">
      <c r="F612" s="66" t="s">
        <v>1663</v>
      </c>
      <c r="G612" s="88" t="s">
        <v>1664</v>
      </c>
      <c r="H612" s="88" t="s">
        <v>3927</v>
      </c>
      <c r="I612" s="88" t="s">
        <v>3928</v>
      </c>
      <c r="J612" s="67" t="s">
        <v>1667</v>
      </c>
      <c r="K612" s="88" t="s">
        <v>1668</v>
      </c>
      <c r="L612" s="88" t="s">
        <v>3650</v>
      </c>
      <c r="M612" s="65"/>
    </row>
    <row r="613" spans="6:13" ht="12.75">
      <c r="F613" s="66" t="s">
        <v>1663</v>
      </c>
      <c r="G613" s="88" t="s">
        <v>1664</v>
      </c>
      <c r="H613" s="88" t="s">
        <v>3929</v>
      </c>
      <c r="I613" s="88" t="s">
        <v>3930</v>
      </c>
      <c r="J613" s="67" t="s">
        <v>1667</v>
      </c>
      <c r="K613" s="67"/>
      <c r="L613" s="88" t="s">
        <v>1921</v>
      </c>
      <c r="M613" s="88" t="s">
        <v>3931</v>
      </c>
    </row>
    <row r="614" spans="6:13" ht="12.75">
      <c r="F614" s="66" t="s">
        <v>1663</v>
      </c>
      <c r="G614" s="88" t="s">
        <v>1664</v>
      </c>
      <c r="H614" s="88" t="s">
        <v>3932</v>
      </c>
      <c r="I614" s="88" t="s">
        <v>3933</v>
      </c>
      <c r="J614" s="67" t="s">
        <v>1667</v>
      </c>
      <c r="K614" s="67"/>
      <c r="L614" s="65"/>
      <c r="M614" s="65"/>
    </row>
  </sheetData>
  <mergeCells count="17">
    <mergeCell ref="B23:B31"/>
    <mergeCell ref="A57:A66"/>
    <mergeCell ref="B57:B66"/>
    <mergeCell ref="A67:A74"/>
    <mergeCell ref="A75:A84"/>
    <mergeCell ref="A23:A31"/>
    <mergeCell ref="A32:A40"/>
    <mergeCell ref="B32:B40"/>
    <mergeCell ref="A41:A50"/>
    <mergeCell ref="B41:B50"/>
    <mergeCell ref="A51:A56"/>
    <mergeCell ref="B51:B56"/>
    <mergeCell ref="A2:A3"/>
    <mergeCell ref="F2:I3"/>
    <mergeCell ref="J2:M3"/>
    <mergeCell ref="A5:A12"/>
    <mergeCell ref="A14:A22"/>
  </mergeCells>
  <pageMargins left="0" right="0" top="0" bottom="0" header="0" footer="0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>
    <outlinePr summaryBelow="0" summaryRight="0"/>
  </sheetPr>
  <dimension ref="A1:H99"/>
  <sheetViews>
    <sheetView workbookViewId="0"/>
  </sheetViews>
  <sheetFormatPr defaultColWidth="12.5703125" defaultRowHeight="15.75" customHeight="1"/>
  <cols>
    <col min="1" max="1" width="44" customWidth="1"/>
    <col min="2" max="2" width="32.140625" customWidth="1"/>
    <col min="3" max="3" width="14.28515625" customWidth="1"/>
    <col min="4" max="4" width="30.28515625" customWidth="1"/>
    <col min="5" max="5" width="49.42578125" customWidth="1"/>
    <col min="6" max="6" width="25.42578125" customWidth="1"/>
    <col min="8" max="8" width="13.5703125" hidden="1" customWidth="1"/>
  </cols>
  <sheetData>
    <row r="1" spans="1:8" ht="15.75" customHeight="1">
      <c r="A1" s="93" t="str">
        <f ca="1">IFERROR(__xludf.DUMMYFUNCTION("IMPORTRANGE(""1UwBEczQmPcrI9wtIZdda9LccAr_zrr8rITmOrURuNmA/edit#gid=1996709131"",""Estrutura!a2:a100"")"),"ESTRUTURA")</f>
        <v>ESTRUTURA</v>
      </c>
      <c r="B1" s="93" t="str">
        <f ca="1">IFERROR(__xludf.DUMMYFUNCTION("IMPORTRANGE(""1UwBEczQmPcrI9wtIZdda9LccAr_zrr8rITmOrURuNmA/edit#gid=1996709131"",""Estrutura!c2:c100"")"),"NOME")</f>
        <v>NOME</v>
      </c>
      <c r="C1" s="93" t="str">
        <f ca="1">IFERROR(__xludf.DUMMYFUNCTION("IMPORTRANGE(""1UwBEczQmPcrI9wtIZdda9LccAr_zrr8rITmOrURuNmA/edit#gid=1996709131"",""Estrutura!e2:e100"")"),"COORDENAÇÃO")</f>
        <v>COORDENAÇÃO</v>
      </c>
      <c r="D1" s="93"/>
      <c r="E1" s="52" t="s">
        <v>3934</v>
      </c>
      <c r="F1" s="52" t="s">
        <v>3935</v>
      </c>
      <c r="G1" s="93"/>
      <c r="H1" s="93" t="str">
        <f ca="1">IFERROR(__xludf.DUMMYFUNCTION("IMPORTRANGE(""1UwBEczQmPcrI9wtIZdda9LccAr_zrr8rITmOrURuNmA/edit#gid=1996709131"",""Estrutura!k2:k100"")"),"TOTAL FUNCIONÁRIOS ")</f>
        <v xml:space="preserve">TOTAL FUNCIONÁRIOS </v>
      </c>
    </row>
    <row r="2" spans="1:8" ht="15">
      <c r="A2" s="93" t="str">
        <f ca="1">IFERROR(__xludf.DUMMYFUNCTION("""COMPUTED_VALUE"""),"Núcleo de Extensão - Pontos de Leitura")</f>
        <v>Núcleo de Extensão - Pontos de Leitura</v>
      </c>
      <c r="B2" s="93" t="str">
        <f ca="1">IFERROR(__xludf.DUMMYFUNCTION("""COMPUTED_VALUE"""),"Rosana Aparecida Santana")</f>
        <v>Rosana Aparecida Santana</v>
      </c>
      <c r="C2" s="93">
        <f ca="1">IFERROR(__xludf.DUMMYFUNCTION("""COMPUTED_VALUE"""),0)</f>
        <v>0</v>
      </c>
      <c r="D2" s="94" t="str">
        <f t="shared" ref="D2:D81" ca="1" si="0">IF(C2 = 1,(B2),"")</f>
        <v/>
      </c>
      <c r="E2" s="95" t="str">
        <f ca="1">IFERROR(__xludf.DUMMYFUNCTION("IMPORTRANGE(""1UwBEczQmPcrI9wtIZdda9LccAr_zrr8rITmOrURuNmA"",""Estrutura!A76"")"),"Protocolo (Lapa)**")</f>
        <v>Protocolo (Lapa)**</v>
      </c>
      <c r="F2" s="93" t="str">
        <f ca="1">CONCATENATE(B75)</f>
        <v>José Edson da Silva</v>
      </c>
      <c r="G2" s="93">
        <f ca="1">H75</f>
        <v>1</v>
      </c>
      <c r="H2" s="52">
        <f ca="1">IFERROR(__xludf.DUMMYFUNCTION("""COMPUTED_VALUE"""),9)</f>
        <v>9</v>
      </c>
    </row>
    <row r="3" spans="1:8" ht="15">
      <c r="A3" s="93" t="str">
        <f ca="1">IFERROR(__xludf.DUMMYFUNCTION("""COMPUTED_VALUE"""),"Núcleo de Extensão - Pontos de Leitura")</f>
        <v>Núcleo de Extensão - Pontos de Leitura</v>
      </c>
      <c r="B3" s="93" t="str">
        <f ca="1">IFERROR(__xludf.DUMMYFUNCTION("""COMPUTED_VALUE"""),"Maria Izabel Rueda ")</f>
        <v xml:space="preserve">Maria Izabel Rueda </v>
      </c>
      <c r="C3" s="93">
        <f ca="1">IFERROR(__xludf.DUMMYFUNCTION("""COMPUTED_VALUE"""),0)</f>
        <v>0</v>
      </c>
      <c r="D3" s="94" t="str">
        <f t="shared" ca="1" si="0"/>
        <v/>
      </c>
      <c r="E3" s="95" t="str">
        <f ca="1">IFERROR(__xludf.DUMMYFUNCTION("IMPORTRANGE(""1UwBEczQmPcrI9wtIZdda9LccAr_zrr8rITmOrURuNmA"",""Estrutura!A49"")"),"SCT - Setor de Expedição")</f>
        <v>SCT - Setor de Expedição</v>
      </c>
      <c r="F3" s="93" t="s">
        <v>103</v>
      </c>
      <c r="G3" s="93">
        <f ca="1">H47</f>
        <v>4</v>
      </c>
      <c r="H3" s="52"/>
    </row>
    <row r="4" spans="1:8" ht="15">
      <c r="A4" s="93" t="str">
        <f ca="1">IFERROR(__xludf.DUMMYFUNCTION("""COMPUTED_VALUE"""),"Núcleo de Extensão - Pontos de Leitura")</f>
        <v>Núcleo de Extensão - Pontos de Leitura</v>
      </c>
      <c r="B4" s="93" t="str">
        <f ca="1">IFERROR(__xludf.DUMMYFUNCTION("""COMPUTED_VALUE"""),"Joe André Simões")</f>
        <v>Joe André Simões</v>
      </c>
      <c r="C4" s="93">
        <f ca="1">IFERROR(__xludf.DUMMYFUNCTION("""COMPUTED_VALUE"""),0)</f>
        <v>0</v>
      </c>
      <c r="D4" s="94" t="str">
        <f t="shared" ca="1" si="0"/>
        <v/>
      </c>
      <c r="E4" s="95" t="str">
        <f ca="1">IFERROR(__xludf.DUMMYFUNCTION("IMPORTRANGE(""1UwBEczQmPcrI9wtIZdda9LccAr_zrr8rITmOrURuNmA"",""Estrutura!A46"")"),"SCT - Seção de Avaliação Seleção e Aquisição")</f>
        <v>SCT - Seção de Avaliação Seleção e Aquisição</v>
      </c>
      <c r="F4" s="93" t="str">
        <f ca="1">CONCATENATE(D45)</f>
        <v>Janaina Pissinato</v>
      </c>
      <c r="G4" s="93">
        <f ca="1">H45</f>
        <v>1</v>
      </c>
      <c r="H4" s="52"/>
    </row>
    <row r="5" spans="1:8" ht="15">
      <c r="A5" s="93" t="str">
        <f ca="1">IFERROR(__xludf.DUMMYFUNCTION("""COMPUTED_VALUE"""),"Núcleo de Extensão - Pontos de Leitura")</f>
        <v>Núcleo de Extensão - Pontos de Leitura</v>
      </c>
      <c r="B5" s="93" t="str">
        <f ca="1">IFERROR(__xludf.DUMMYFUNCTION("""COMPUTED_VALUE"""),"Osmar Guimarães")</f>
        <v>Osmar Guimarães</v>
      </c>
      <c r="C5" s="93">
        <f ca="1">IFERROR(__xludf.DUMMYFUNCTION("""COMPUTED_VALUE"""),0)</f>
        <v>0</v>
      </c>
      <c r="D5" s="94" t="str">
        <f t="shared" ca="1" si="0"/>
        <v/>
      </c>
      <c r="E5" s="95" t="str">
        <f ca="1">IFERROR(__xludf.DUMMYFUNCTION("IMPORTRANGE(""1UwBEczQmPcrI9wtIZdda9LccAr_zrr8rITmOrURuNmA"",""Estrutura!A69"")"),"SCT - Doação e Apoio Técnico")</f>
        <v>SCT - Doação e Apoio Técnico</v>
      </c>
      <c r="F5" s="93" t="e">
        <f>CONCATENATE(D67:D68)</f>
        <v>#VALUE!</v>
      </c>
      <c r="G5" s="93">
        <f ca="1">H67</f>
        <v>2</v>
      </c>
      <c r="H5" s="52"/>
    </row>
    <row r="6" spans="1:8" ht="15">
      <c r="A6" s="93" t="str">
        <f ca="1">IFERROR(__xludf.DUMMYFUNCTION("""COMPUTED_VALUE"""),"Núcleo de Extensão em Leitura")</f>
        <v>Núcleo de Extensão em Leitura</v>
      </c>
      <c r="B6" s="93" t="str">
        <f ca="1">IFERROR(__xludf.DUMMYFUNCTION("""COMPUTED_VALUE"""),"Patrícia de Oliveira Iticava")</f>
        <v>Patrícia de Oliveira Iticava</v>
      </c>
      <c r="C6" s="93">
        <f ca="1">IFERROR(__xludf.DUMMYFUNCTION("""COMPUTED_VALUE"""),0)</f>
        <v>0</v>
      </c>
      <c r="D6" s="94" t="str">
        <f t="shared" ca="1" si="0"/>
        <v/>
      </c>
      <c r="E6" s="95" t="s">
        <v>3936</v>
      </c>
      <c r="F6" s="93" t="e">
        <f>CONCATENATE(D67:D68)</f>
        <v>#VALUE!</v>
      </c>
      <c r="G6" s="93">
        <f ca="1">H67</f>
        <v>2</v>
      </c>
      <c r="H6" s="52"/>
    </row>
    <row r="7" spans="1:8" ht="15">
      <c r="A7" s="93"/>
      <c r="B7" s="93" t="str">
        <f ca="1">IFERROR(__xludf.DUMMYFUNCTION("""COMPUTED_VALUE"""),"Tânia Fortes Santa Clara")</f>
        <v>Tânia Fortes Santa Clara</v>
      </c>
      <c r="C7" s="93">
        <f ca="1">IFERROR(__xludf.DUMMYFUNCTION("""COMPUTED_VALUE"""),0)</f>
        <v>0</v>
      </c>
      <c r="D7" s="94" t="str">
        <f t="shared" ca="1" si="0"/>
        <v/>
      </c>
      <c r="E7" s="95" t="str">
        <f ca="1">IFERROR(__xludf.DUMMYFUNCTION("IMPORTRANGE(""1UwBEczQmPcrI9wtIZdda9LccAr_zrr8rITmOrURuNmA"",""Estrutura!A60"")"),"SCT - Seção de Controle Bibliográfico")</f>
        <v>SCT - Seção de Controle Bibliográfico</v>
      </c>
      <c r="F7" s="93" t="e">
        <f>CONCATENATE(D58:D60)</f>
        <v>#VALUE!</v>
      </c>
      <c r="G7" s="93">
        <f ca="1">H58</f>
        <v>3</v>
      </c>
      <c r="H7" s="52"/>
    </row>
    <row r="8" spans="1:8" ht="15">
      <c r="A8" s="93" t="str">
        <f ca="1">IFERROR(__xludf.DUMMYFUNCTION("""COMPUTED_VALUE"""),"Núcleo de Extensão em Leitura")</f>
        <v>Núcleo de Extensão em Leitura</v>
      </c>
      <c r="B8" s="93" t="str">
        <f ca="1">IFERROR(__xludf.DUMMYFUNCTION("""COMPUTED_VALUE"""),"Lucas Carlos de Oliveira Silva")</f>
        <v>Lucas Carlos de Oliveira Silva</v>
      </c>
      <c r="C8" s="93">
        <f ca="1">IFERROR(__xludf.DUMMYFUNCTION("""COMPUTED_VALUE"""),1)</f>
        <v>1</v>
      </c>
      <c r="D8" s="94" t="str">
        <f t="shared" ca="1" si="0"/>
        <v>Lucas Carlos de Oliveira Silva</v>
      </c>
      <c r="E8" s="95" t="str">
        <f ca="1">IFERROR(__xludf.DUMMYFUNCTION("IMPORTRANGE(""1UwBEczQmPcrI9wtIZdda9LccAr_zrr8rITmOrURuNmA"",""Estrutura!A64"")"),"SCT - Controle de Vocabulário")</f>
        <v>SCT - Controle de Vocabulário</v>
      </c>
      <c r="F8" s="93" t="e">
        <f>CONCATENATE(D62:D65)</f>
        <v>#VALUE!</v>
      </c>
      <c r="G8" s="93">
        <f ca="1">H62</f>
        <v>4</v>
      </c>
      <c r="H8" s="52"/>
    </row>
    <row r="9" spans="1:8" ht="15">
      <c r="A9" s="93" t="str">
        <f ca="1">IFERROR(__xludf.DUMMYFUNCTION("""COMPUTED_VALUE"""),"Núcleo de Extensão - Pontos de Leitura")</f>
        <v>Núcleo de Extensão - Pontos de Leitura</v>
      </c>
      <c r="B9" s="93" t="str">
        <f ca="1">IFERROR(__xludf.DUMMYFUNCTION("""COMPUTED_VALUE"""),"Cícero Barros da Silva")</f>
        <v>Cícero Barros da Silva</v>
      </c>
      <c r="C9" s="93">
        <f ca="1">IFERROR(__xludf.DUMMYFUNCTION("""COMPUTED_VALUE"""),0)</f>
        <v>0</v>
      </c>
      <c r="D9" s="94" t="str">
        <f t="shared" ca="1" si="0"/>
        <v/>
      </c>
      <c r="E9" s="95" t="str">
        <f ca="1">IFERROR(__xludf.DUMMYFUNCTION("IMPORTRANGE(""1UwBEczQmPcrI9wtIZdda9LccAr_zrr8rITmOrURuNmA"",""Estrutura!A54"")"),"SCT - Consistência de Dados")</f>
        <v>SCT - Consistência de Dados</v>
      </c>
      <c r="F9" s="93" t="e">
        <f>CONCATENATE(D52:D56)</f>
        <v>#VALUE!</v>
      </c>
      <c r="G9" s="93">
        <f ca="1">H52</f>
        <v>5</v>
      </c>
      <c r="H9" s="52"/>
    </row>
    <row r="10" spans="1:8" ht="15">
      <c r="A10" s="93" t="str">
        <f ca="1">IFERROR(__xludf.DUMMYFUNCTION("""COMPUTED_VALUE"""),"Núcleo de Extensão - Bosques da Leitura")</f>
        <v>Núcleo de Extensão - Bosques da Leitura</v>
      </c>
      <c r="B10" s="93" t="str">
        <f ca="1">IFERROR(__xludf.DUMMYFUNCTION("""COMPUTED_VALUE"""),"Nilce Ferreira da Silva")</f>
        <v>Nilce Ferreira da Silva</v>
      </c>
      <c r="C10" s="93">
        <f ca="1">IFERROR(__xludf.DUMMYFUNCTION("""COMPUTED_VALUE"""),0)</f>
        <v>0</v>
      </c>
      <c r="D10" s="94" t="str">
        <f t="shared" ca="1" si="0"/>
        <v/>
      </c>
      <c r="E10" s="95" t="str">
        <f ca="1">IFERROR(__xludf.DUMMYFUNCTION("IMPORTRANGE(""1UwBEczQmPcrI9wtIZdda9LccAr_zrr8rITmOrURuNmA"",""Estrutura!A44"")"),"SCT – Coordenação")</f>
        <v>SCT – Coordenação</v>
      </c>
      <c r="F10" s="93" t="str">
        <f ca="1">CONCATENATE(D43)</f>
        <v>Wanda Moreira Martins Santos</v>
      </c>
      <c r="G10" s="93">
        <f ca="1">H43</f>
        <v>1</v>
      </c>
      <c r="H10" s="52"/>
    </row>
    <row r="11" spans="1:8" ht="15">
      <c r="A11" s="93"/>
      <c r="B11" s="93"/>
      <c r="C11" s="93"/>
      <c r="D11" s="94" t="str">
        <f t="shared" si="0"/>
        <v/>
      </c>
      <c r="E11" s="95" t="str">
        <f ca="1">IFERROR(__xludf.DUMMYFUNCTION("IMPORTRANGE(""1UwBEczQmPcrI9wtIZdda9LccAr_zrr8rITmOrURuNmA"",""Estrutura!A42"")"),"Assessoria em Tecnologia da Informação")</f>
        <v>Assessoria em Tecnologia da Informação</v>
      </c>
      <c r="F11" s="93" t="e">
        <f>CONCATENATE(D39:D41)</f>
        <v>#VALUE!</v>
      </c>
      <c r="G11" s="93">
        <f ca="1">H39</f>
        <v>3</v>
      </c>
      <c r="H11" s="52"/>
    </row>
    <row r="12" spans="1:8" ht="15">
      <c r="A12" s="93" t="str">
        <f ca="1">IFERROR(__xludf.DUMMYFUNCTION("""COMPUTED_VALUE"""),"Setor de Reencadernação")</f>
        <v>Setor de Reencadernação</v>
      </c>
      <c r="B12" s="93" t="str">
        <f ca="1">IFERROR(__xludf.DUMMYFUNCTION("""COMPUTED_VALUE"""),"William Gabriel Vicente")</f>
        <v>William Gabriel Vicente</v>
      </c>
      <c r="C12" s="93">
        <f ca="1">IFERROR(__xludf.DUMMYFUNCTION("""COMPUTED_VALUE"""),1)</f>
        <v>1</v>
      </c>
      <c r="D12" s="94" t="str">
        <f t="shared" ca="1" si="0"/>
        <v>William Gabriel Vicente</v>
      </c>
      <c r="E12" s="95" t="str">
        <f ca="1">IFERROR(__xludf.DUMMYFUNCTION("IMPORTRANGE(""1UwBEczQmPcrI9wtIZdda9LccAr_zrr8rITmOrURuNmA"",""Estrutura!A30"")"),"Núcleos Regionais - Leste/Sul")</f>
        <v>Núcleos Regionais - Leste/Sul</v>
      </c>
      <c r="F12" s="93" t="str">
        <f ca="1">CONCATENATE(D29)</f>
        <v>Roseli Pires Santos Destre</v>
      </c>
      <c r="G12" s="93">
        <f ca="1">H26</f>
        <v>6</v>
      </c>
      <c r="H12" s="52">
        <f ca="1">IFERROR(__xludf.DUMMYFUNCTION("""COMPUTED_VALUE"""),3)</f>
        <v>3</v>
      </c>
    </row>
    <row r="13" spans="1:8" ht="15">
      <c r="A13" s="93" t="str">
        <f ca="1">IFERROR(__xludf.DUMMYFUNCTION("""COMPUTED_VALUE"""),"Setor de Reencadernação")</f>
        <v>Setor de Reencadernação</v>
      </c>
      <c r="B13" s="93" t="str">
        <f ca="1">IFERROR(__xludf.DUMMYFUNCTION("""COMPUTED_VALUE"""),"Angela Martins dos Santos")</f>
        <v>Angela Martins dos Santos</v>
      </c>
      <c r="C13" s="93">
        <f ca="1">IFERROR(__xludf.DUMMYFUNCTION("""COMPUTED_VALUE"""),0)</f>
        <v>0</v>
      </c>
      <c r="D13" s="94" t="str">
        <f t="shared" ca="1" si="0"/>
        <v/>
      </c>
      <c r="E13" s="95" t="str">
        <f ca="1">IFERROR(__xludf.DUMMYFUNCTION("IMPORTRANGE(""1UwBEczQmPcrI9wtIZdda9LccAr_zrr8rITmOrURuNmA"",""Estrutura!A31"")"),"Núcleos Regionais - Centro/Norte/Oeste")</f>
        <v>Núcleos Regionais - Centro/Norte/Oeste</v>
      </c>
      <c r="F13" s="93" t="e">
        <f>CONCATENATE(D30:D31)</f>
        <v>#VALUE!</v>
      </c>
      <c r="G13" s="93">
        <f ca="1">H26</f>
        <v>6</v>
      </c>
      <c r="H13" s="52"/>
    </row>
    <row r="14" spans="1:8" ht="15">
      <c r="A14" s="93" t="str">
        <f ca="1">IFERROR(__xludf.DUMMYFUNCTION("""COMPUTED_VALUE"""),"Setor de Reencadernação")</f>
        <v>Setor de Reencadernação</v>
      </c>
      <c r="B14" s="93" t="str">
        <f ca="1">IFERROR(__xludf.DUMMYFUNCTION("""COMPUTED_VALUE"""),"Rodisnei José da Silva")</f>
        <v>Rodisnei José da Silva</v>
      </c>
      <c r="C14" s="93">
        <f ca="1">IFERROR(__xludf.DUMMYFUNCTION("""COMPUTED_VALUE"""),0)</f>
        <v>0</v>
      </c>
      <c r="D14" s="94" t="str">
        <f t="shared" ca="1" si="0"/>
        <v/>
      </c>
      <c r="E14" s="95" t="str">
        <f ca="1">IFERROR(__xludf.DUMMYFUNCTION("IMPORTRANGE(""1UwBEczQmPcrI9wtIZdda9LccAr_zrr8rITmOrURuNmA"",""Estrutura!A27"")"),"Supervisão de Bibliotecas")</f>
        <v>Supervisão de Bibliotecas</v>
      </c>
      <c r="F14" s="93" t="e">
        <f>CONCATENATE(D26:D28)</f>
        <v>#VALUE!</v>
      </c>
      <c r="G14" s="93">
        <f ca="1">H26</f>
        <v>6</v>
      </c>
      <c r="H14" s="52"/>
    </row>
    <row r="15" spans="1:8" ht="15">
      <c r="A15" s="93"/>
      <c r="B15" s="93"/>
      <c r="C15" s="93"/>
      <c r="D15" s="94" t="str">
        <f t="shared" si="0"/>
        <v/>
      </c>
      <c r="E15" s="95" t="str">
        <f ca="1">IFERROR(__xludf.DUMMYFUNCTION("IMPORTRANGE(""1UwBEczQmPcrI9wtIZdda9LccAr_zrr8rITmOrURuNmA"",""Estrutura!A21"")"),"CSMB – Coordenação")</f>
        <v>CSMB – Coordenação</v>
      </c>
      <c r="F15" s="93" t="e">
        <f>CONCATENATE(D16:D24)</f>
        <v>#VALUE!</v>
      </c>
      <c r="G15" s="93">
        <f ca="1">H16</f>
        <v>9</v>
      </c>
      <c r="H15" s="52"/>
    </row>
    <row r="16" spans="1:8" ht="15">
      <c r="A16" s="93" t="str">
        <f ca="1">IFERROR(__xludf.DUMMYFUNCTION("""COMPUTED_VALUE"""),"CSMB – Coordenação")</f>
        <v>CSMB – Coordenação</v>
      </c>
      <c r="B16" s="93" t="str">
        <f ca="1">IFERROR(__xludf.DUMMYFUNCTION("""COMPUTED_VALUE"""),"Therezinha Pereira da Silva")</f>
        <v>Therezinha Pereira da Silva</v>
      </c>
      <c r="C16" s="93">
        <f ca="1">IFERROR(__xludf.DUMMYFUNCTION("""COMPUTED_VALUE"""),0)</f>
        <v>0</v>
      </c>
      <c r="D16" s="94" t="str">
        <f t="shared" ca="1" si="0"/>
        <v/>
      </c>
      <c r="E16" s="95" t="s">
        <v>1157</v>
      </c>
      <c r="F16" s="93" t="s">
        <v>86</v>
      </c>
      <c r="G16" s="93">
        <v>1</v>
      </c>
      <c r="H16" s="52">
        <f ca="1">IFERROR(__xludf.DUMMYFUNCTION("""COMPUTED_VALUE"""),9)</f>
        <v>9</v>
      </c>
    </row>
    <row r="17" spans="1:8" ht="15">
      <c r="A17" s="93" t="str">
        <f ca="1">IFERROR(__xludf.DUMMYFUNCTION("""COMPUTED_VALUE"""),"CSMB – Coordenação")</f>
        <v>CSMB – Coordenação</v>
      </c>
      <c r="B17" s="93" t="str">
        <f ca="1">IFERROR(__xludf.DUMMYFUNCTION("""COMPUTED_VALUE"""),"Marilda Ferrão Carteiro")</f>
        <v>Marilda Ferrão Carteiro</v>
      </c>
      <c r="C17" s="93">
        <f ca="1">IFERROR(__xludf.DUMMYFUNCTION("""COMPUTED_VALUE"""),0)</f>
        <v>0</v>
      </c>
      <c r="D17" s="94" t="str">
        <f t="shared" ca="1" si="0"/>
        <v/>
      </c>
      <c r="E17" s="95" t="str">
        <f ca="1">IFERROR(__xludf.DUMMYFUNCTION("IMPORTRANGE(""1UwBEczQmPcrI9wtIZdda9LccAr_zrr8rITmOrURuNmA"",""Estrutura!A34"")"),"Supervisão de Planejamento - Coordenação")</f>
        <v>Supervisão de Planejamento - Coordenação</v>
      </c>
      <c r="F17" s="93" t="e">
        <f>CONCATENATE(D33:D37)</f>
        <v>#VALUE!</v>
      </c>
      <c r="G17" s="93">
        <f ca="1">H33</f>
        <v>5</v>
      </c>
      <c r="H17" s="52"/>
    </row>
    <row r="18" spans="1:8" ht="15">
      <c r="A18" s="93" t="str">
        <f ca="1">IFERROR(__xludf.DUMMYFUNCTION("""COMPUTED_VALUE"""),"CSMB – Coordenação")</f>
        <v>CSMB – Coordenação</v>
      </c>
      <c r="B18" s="93" t="str">
        <f ca="1">IFERROR(__xludf.DUMMYFUNCTION("""COMPUTED_VALUE"""),"Raymund Joaquim F. Andrade")</f>
        <v>Raymund Joaquim F. Andrade</v>
      </c>
      <c r="C18" s="93">
        <f ca="1">IFERROR(__xludf.DUMMYFUNCTION("""COMPUTED_VALUE"""),0)</f>
        <v>0</v>
      </c>
      <c r="D18" s="94" t="str">
        <f t="shared" ca="1" si="0"/>
        <v/>
      </c>
      <c r="E18" s="95" t="str">
        <f ca="1">IFERROR(__xludf.DUMMYFUNCTION("IMPORTRANGE(""1UwBEczQmPcrI9wtIZdda9LccAr_zrr8rITmOrURuNmA"",""Estrutura!A71"")"),"Supervisão de Programas e Projetos")</f>
        <v>Supervisão de Programas e Projetos</v>
      </c>
      <c r="F18" s="93" t="e">
        <f>CONCATENATE(D70:D73)</f>
        <v>#VALUE!</v>
      </c>
      <c r="G18" s="93">
        <f ca="1">H70</f>
        <v>4</v>
      </c>
      <c r="H18" s="52"/>
    </row>
    <row r="19" spans="1:8" ht="15">
      <c r="A19" s="93" t="str">
        <f ca="1">IFERROR(__xludf.DUMMYFUNCTION("""COMPUTED_VALUE"""),"CSMB – Coordenação")</f>
        <v>CSMB – Coordenação</v>
      </c>
      <c r="B19" s="93" t="str">
        <f ca="1">IFERROR(__xludf.DUMMYFUNCTION("""COMPUTED_VALUE"""),"Eli de Oliveira")</f>
        <v>Eli de Oliveira</v>
      </c>
      <c r="C19" s="93">
        <f ca="1">IFERROR(__xludf.DUMMYFUNCTION("""COMPUTED_VALUE"""),0)</f>
        <v>0</v>
      </c>
      <c r="D19" s="94" t="str">
        <f t="shared" ca="1" si="0"/>
        <v/>
      </c>
      <c r="E19" s="95" t="str">
        <f ca="1">IFERROR(__xludf.DUMMYFUNCTION("IMPORTRANGE(""1UwBEczQmPcrI9wtIZdda9LccAr_zrr8rITmOrURuNmA"",""Estrutura!A13"")"),"Setor de Reencadernação")</f>
        <v>Setor de Reencadernação</v>
      </c>
      <c r="F19" s="93" t="e">
        <f>CONCATENATE(D12:D14)</f>
        <v>#VALUE!</v>
      </c>
      <c r="G19" s="93">
        <f ca="1">H12</f>
        <v>3</v>
      </c>
      <c r="H19" s="52"/>
    </row>
    <row r="20" spans="1:8" ht="15">
      <c r="A20" s="93" t="str">
        <f ca="1">IFERROR(__xludf.DUMMYFUNCTION("""COMPUTED_VALUE"""),"CSMB – Coordenação")</f>
        <v>CSMB – Coordenação</v>
      </c>
      <c r="B20" s="93" t="str">
        <f ca="1">IFERROR(__xludf.DUMMYFUNCTION("""COMPUTED_VALUE"""),"Marcia Yoshie Tamura Tomomitsu")</f>
        <v>Marcia Yoshie Tamura Tomomitsu</v>
      </c>
      <c r="C20" s="93">
        <f ca="1">IFERROR(__xludf.DUMMYFUNCTION("""COMPUTED_VALUE"""),0)</f>
        <v>0</v>
      </c>
      <c r="D20" s="94" t="str">
        <f t="shared" ca="1" si="0"/>
        <v/>
      </c>
      <c r="E20" s="95" t="str">
        <f ca="1">IFERROR(__xludf.DUMMYFUNCTION("IMPORTRANGE(""1UwBEczQmPcrI9wtIZdda9LccAr_zrr8rITmOrURuNmA"",""Estrutura!A81"")"),"Zeladoria*")</f>
        <v>Zeladoria*</v>
      </c>
      <c r="F20" s="93" t="e">
        <f>CONCATENATE(D77:D81)</f>
        <v>#VALUE!</v>
      </c>
      <c r="G20" s="93">
        <f ca="1">H77</f>
        <v>4</v>
      </c>
      <c r="H20" s="52"/>
    </row>
    <row r="21" spans="1:8" ht="15">
      <c r="A21" s="93" t="str">
        <f ca="1">IFERROR(__xludf.DUMMYFUNCTION("""COMPUTED_VALUE"""),"CSMB – Coordenação")</f>
        <v>CSMB – Coordenação</v>
      </c>
      <c r="B21" s="93" t="str">
        <f ca="1">IFERROR(__xludf.DUMMYFUNCTION("""COMPUTED_VALUE"""),"Alexandre Morrone")</f>
        <v>Alexandre Morrone</v>
      </c>
      <c r="C21" s="93">
        <f ca="1">IFERROR(__xludf.DUMMYFUNCTION("""COMPUTED_VALUE"""),0)</f>
        <v>0</v>
      </c>
      <c r="D21" s="94" t="str">
        <f t="shared" ca="1" si="0"/>
        <v/>
      </c>
      <c r="E21" s="95" t="s">
        <v>1165</v>
      </c>
      <c r="F21" s="93" t="e">
        <f>CONCATENATE(D77:D81)</f>
        <v>#VALUE!</v>
      </c>
      <c r="G21" s="93">
        <f ca="1">H77</f>
        <v>4</v>
      </c>
      <c r="H21" s="52"/>
    </row>
    <row r="22" spans="1:8" ht="15">
      <c r="A22" s="93" t="str">
        <f ca="1">IFERROR(__xludf.DUMMYFUNCTION("""COMPUTED_VALUE"""),"CSMB – Coordenação")</f>
        <v>CSMB – Coordenação</v>
      </c>
      <c r="B22" s="93" t="str">
        <f ca="1">IFERROR(__xludf.DUMMYFUNCTION("""COMPUTED_VALUE"""),"Maria Matiko Miyahira Morita")</f>
        <v>Maria Matiko Miyahira Morita</v>
      </c>
      <c r="C22" s="93">
        <f ca="1">IFERROR(__xludf.DUMMYFUNCTION("""COMPUTED_VALUE"""),0)</f>
        <v>0</v>
      </c>
      <c r="D22" s="94" t="str">
        <f t="shared" ca="1" si="0"/>
        <v/>
      </c>
      <c r="H22" s="52"/>
    </row>
    <row r="23" spans="1:8" ht="15">
      <c r="A23" s="93" t="str">
        <f ca="1">IFERROR(__xludf.DUMMYFUNCTION("""COMPUTED_VALUE"""),"CSMB – Coordenação")</f>
        <v>CSMB – Coordenação</v>
      </c>
      <c r="B23" s="93" t="str">
        <f ca="1">IFERROR(__xludf.DUMMYFUNCTION("""COMPUTED_VALUE"""),"Ricardo Ernesto Vasquez Beltrão")</f>
        <v>Ricardo Ernesto Vasquez Beltrão</v>
      </c>
      <c r="C23" s="93">
        <f ca="1">IFERROR(__xludf.DUMMYFUNCTION("""COMPUTED_VALUE"""),0)</f>
        <v>0</v>
      </c>
      <c r="D23" s="94" t="str">
        <f t="shared" ca="1" si="0"/>
        <v/>
      </c>
      <c r="H23" s="52"/>
    </row>
    <row r="24" spans="1:8" ht="15">
      <c r="A24" s="93" t="str">
        <f ca="1">IFERROR(__xludf.DUMMYFUNCTION("""COMPUTED_VALUE"""),"CSMB – Coordenação")</f>
        <v>CSMB – Coordenação</v>
      </c>
      <c r="B24" s="93" t="str">
        <f ca="1">IFERROR(__xludf.DUMMYFUNCTION("""COMPUTED_VALUE"""),"Raquel da Silva Oliveira")</f>
        <v>Raquel da Silva Oliveira</v>
      </c>
      <c r="C24" s="93">
        <f ca="1">IFERROR(__xludf.DUMMYFUNCTION("""COMPUTED_VALUE"""),1)</f>
        <v>1</v>
      </c>
      <c r="D24" s="94" t="str">
        <f t="shared" ca="1" si="0"/>
        <v>Raquel da Silva Oliveira</v>
      </c>
      <c r="H24" s="52"/>
    </row>
    <row r="25" spans="1:8" ht="15">
      <c r="A25" s="93"/>
      <c r="B25" s="93"/>
      <c r="C25" s="93"/>
      <c r="D25" s="94" t="str">
        <f t="shared" si="0"/>
        <v/>
      </c>
      <c r="H25" s="52"/>
    </row>
    <row r="26" spans="1:8" ht="15">
      <c r="A26" s="93" t="str">
        <f ca="1">IFERROR(__xludf.DUMMYFUNCTION("""COMPUTED_VALUE"""),"Supervisão de Bibliotecas")</f>
        <v>Supervisão de Bibliotecas</v>
      </c>
      <c r="B26" s="93" t="str">
        <f ca="1">IFERROR(__xludf.DUMMYFUNCTION("""COMPUTED_VALUE"""),"Sueli Nemen Rocha ")</f>
        <v xml:space="preserve">Sueli Nemen Rocha </v>
      </c>
      <c r="C26" s="93">
        <f ca="1">IFERROR(__xludf.DUMMYFUNCTION("""COMPUTED_VALUE"""),1)</f>
        <v>1</v>
      </c>
      <c r="D26" s="94" t="str">
        <f t="shared" ca="1" si="0"/>
        <v xml:space="preserve">Sueli Nemen Rocha </v>
      </c>
      <c r="H26" s="52">
        <f ca="1">IFERROR(__xludf.DUMMYFUNCTION("""COMPUTED_VALUE"""),6)</f>
        <v>6</v>
      </c>
    </row>
    <row r="27" spans="1:8" ht="15">
      <c r="A27" s="93" t="str">
        <f ca="1">IFERROR(__xludf.DUMMYFUNCTION("""COMPUTED_VALUE"""),"Supervisão de Bibliotecas")</f>
        <v>Supervisão de Bibliotecas</v>
      </c>
      <c r="B27" s="93" t="str">
        <f ca="1">IFERROR(__xludf.DUMMYFUNCTION("""COMPUTED_VALUE"""),"Rita de Cassia de Araujo Flor")</f>
        <v>Rita de Cassia de Araujo Flor</v>
      </c>
      <c r="C27" s="93">
        <f ca="1">IFERROR(__xludf.DUMMYFUNCTION("""COMPUTED_VALUE"""),0)</f>
        <v>0</v>
      </c>
      <c r="D27" s="94" t="str">
        <f t="shared" ca="1" si="0"/>
        <v/>
      </c>
      <c r="H27" s="52"/>
    </row>
    <row r="28" spans="1:8" ht="15">
      <c r="A28" s="93" t="str">
        <f ca="1">IFERROR(__xludf.DUMMYFUNCTION("""COMPUTED_VALUE"""),"Supervisão de Bibliotecas")</f>
        <v>Supervisão de Bibliotecas</v>
      </c>
      <c r="B28" s="93" t="str">
        <f ca="1">IFERROR(__xludf.DUMMYFUNCTION("""COMPUTED_VALUE"""),"Ailton Lauriano Ferreira")</f>
        <v>Ailton Lauriano Ferreira</v>
      </c>
      <c r="C28" s="93"/>
      <c r="D28" s="94" t="str">
        <f t="shared" si="0"/>
        <v/>
      </c>
      <c r="H28" s="52"/>
    </row>
    <row r="29" spans="1:8" ht="15">
      <c r="A29" s="93" t="str">
        <f ca="1">IFERROR(__xludf.DUMMYFUNCTION("""COMPUTED_VALUE"""),"Núcleos Regionais - Leste/Sul")</f>
        <v>Núcleos Regionais - Leste/Sul</v>
      </c>
      <c r="B29" s="93" t="str">
        <f ca="1">IFERROR(__xludf.DUMMYFUNCTION("""COMPUTED_VALUE"""),"Roseli Pires Santos Destre")</f>
        <v>Roseli Pires Santos Destre</v>
      </c>
      <c r="C29" s="93">
        <f ca="1">IFERROR(__xludf.DUMMYFUNCTION("""COMPUTED_VALUE"""),1)</f>
        <v>1</v>
      </c>
      <c r="D29" s="94" t="str">
        <f t="shared" ca="1" si="0"/>
        <v>Roseli Pires Santos Destre</v>
      </c>
      <c r="H29" s="52"/>
    </row>
    <row r="30" spans="1:8" ht="15">
      <c r="A30" s="93" t="str">
        <f ca="1">IFERROR(__xludf.DUMMYFUNCTION("""COMPUTED_VALUE"""),"Núcleos Regionais - Centro/Norte/Oeste")</f>
        <v>Núcleos Regionais - Centro/Norte/Oeste</v>
      </c>
      <c r="B30" s="93" t="str">
        <f ca="1">IFERROR(__xludf.DUMMYFUNCTION("""COMPUTED_VALUE"""),"Adilva Maria de Azevedo Santos")</f>
        <v>Adilva Maria de Azevedo Santos</v>
      </c>
      <c r="C30" s="93">
        <f ca="1">IFERROR(__xludf.DUMMYFUNCTION("""COMPUTED_VALUE"""),1)</f>
        <v>1</v>
      </c>
      <c r="D30" s="94" t="str">
        <f t="shared" ca="1" si="0"/>
        <v>Adilva Maria de Azevedo Santos</v>
      </c>
      <c r="H30" s="52"/>
    </row>
    <row r="31" spans="1:8" ht="15">
      <c r="A31" s="93" t="str">
        <f ca="1">IFERROR(__xludf.DUMMYFUNCTION("""COMPUTED_VALUE"""),"Núcleos Regionais - Centro/Norte/Oeste")</f>
        <v>Núcleos Regionais - Centro/Norte/Oeste</v>
      </c>
      <c r="B31" s="93" t="str">
        <f ca="1">IFERROR(__xludf.DUMMYFUNCTION("""COMPUTED_VALUE"""),"Alexandro da Silva Matos Maia")</f>
        <v>Alexandro da Silva Matos Maia</v>
      </c>
      <c r="C31" s="93">
        <f ca="1">IFERROR(__xludf.DUMMYFUNCTION("""COMPUTED_VALUE"""),0)</f>
        <v>0</v>
      </c>
      <c r="D31" s="94" t="str">
        <f t="shared" ca="1" si="0"/>
        <v/>
      </c>
      <c r="H31" s="52"/>
    </row>
    <row r="32" spans="1:8" ht="15">
      <c r="A32" s="93"/>
      <c r="B32" s="93"/>
      <c r="C32" s="93"/>
      <c r="D32" s="94" t="str">
        <f t="shared" si="0"/>
        <v/>
      </c>
      <c r="H32" s="52"/>
    </row>
    <row r="33" spans="1:8" ht="15">
      <c r="A33" s="93" t="str">
        <f ca="1">IFERROR(__xludf.DUMMYFUNCTION("""COMPUTED_VALUE"""),"Supervisão de Planejamento - Coordenação")</f>
        <v>Supervisão de Planejamento - Coordenação</v>
      </c>
      <c r="B33" s="93" t="str">
        <f ca="1">IFERROR(__xludf.DUMMYFUNCTION("""COMPUTED_VALUE"""),"Joeli Espirito Santo Rocha")</f>
        <v>Joeli Espirito Santo Rocha</v>
      </c>
      <c r="C33" s="93">
        <f ca="1">IFERROR(__xludf.DUMMYFUNCTION("""COMPUTED_VALUE"""),1)</f>
        <v>1</v>
      </c>
      <c r="D33" s="94" t="str">
        <f t="shared" ca="1" si="0"/>
        <v>Joeli Espirito Santo Rocha</v>
      </c>
      <c r="H33" s="52">
        <f ca="1">IFERROR(__xludf.DUMMYFUNCTION("""COMPUTED_VALUE"""),5)</f>
        <v>5</v>
      </c>
    </row>
    <row r="34" spans="1:8" ht="15">
      <c r="A34" s="93" t="str">
        <f ca="1">IFERROR(__xludf.DUMMYFUNCTION("""COMPUTED_VALUE"""),"Supervisão de Planejamento - Avaliação e Monitoramento")</f>
        <v>Supervisão de Planejamento - Avaliação e Monitoramento</v>
      </c>
      <c r="B34" s="93" t="str">
        <f ca="1">IFERROR(__xludf.DUMMYFUNCTION("""COMPUTED_VALUE"""),"Sara da Rocha Campos Pereira")</f>
        <v>Sara da Rocha Campos Pereira</v>
      </c>
      <c r="C34" s="93">
        <f ca="1">IFERROR(__xludf.DUMMYFUNCTION("""COMPUTED_VALUE"""),0)</f>
        <v>0</v>
      </c>
      <c r="D34" s="94" t="str">
        <f t="shared" ca="1" si="0"/>
        <v/>
      </c>
      <c r="H34" s="52"/>
    </row>
    <row r="35" spans="1:8" ht="15">
      <c r="A35" s="93" t="str">
        <f ca="1">IFERROR(__xludf.DUMMYFUNCTION("""COMPUTED_VALUE"""),"Supervisão de Planejamento - Avaliação e Monitoramento")</f>
        <v>Supervisão de Planejamento - Avaliação e Monitoramento</v>
      </c>
      <c r="B35" s="93" t="str">
        <f ca="1">IFERROR(__xludf.DUMMYFUNCTION("""COMPUTED_VALUE"""),"Danilo Fermino Ribeiro")</f>
        <v>Danilo Fermino Ribeiro</v>
      </c>
      <c r="C35" s="93">
        <f ca="1">IFERROR(__xludf.DUMMYFUNCTION("""COMPUTED_VALUE"""),0)</f>
        <v>0</v>
      </c>
      <c r="D35" s="94" t="str">
        <f t="shared" ca="1" si="0"/>
        <v/>
      </c>
      <c r="H35" s="52"/>
    </row>
    <row r="36" spans="1:8" ht="15">
      <c r="A36" s="93" t="str">
        <f ca="1">IFERROR(__xludf.DUMMYFUNCTION("""COMPUTED_VALUE"""),"Supervisão de Planejamento - Avaliação e Monitoramento")</f>
        <v>Supervisão de Planejamento - Avaliação e Monitoramento</v>
      </c>
      <c r="B36" s="93" t="str">
        <f ca="1">IFERROR(__xludf.DUMMYFUNCTION("""COMPUTED_VALUE"""),"Alexandre Miyazato")</f>
        <v>Alexandre Miyazato</v>
      </c>
      <c r="C36" s="93">
        <f ca="1">IFERROR(__xludf.DUMMYFUNCTION("""COMPUTED_VALUE"""),0)</f>
        <v>0</v>
      </c>
      <c r="D36" s="94" t="str">
        <f t="shared" ca="1" si="0"/>
        <v/>
      </c>
      <c r="H36" s="52"/>
    </row>
    <row r="37" spans="1:8" ht="15">
      <c r="A37" s="93" t="str">
        <f ca="1">IFERROR(__xludf.DUMMYFUNCTION("""COMPUTED_VALUE"""),"Supervisão de Planejamento - Website")</f>
        <v>Supervisão de Planejamento - Website</v>
      </c>
      <c r="B37" s="93" t="str">
        <f ca="1">IFERROR(__xludf.DUMMYFUNCTION("""COMPUTED_VALUE"""),"Laura Junqueira Caldas ")</f>
        <v xml:space="preserve">Laura Junqueira Caldas </v>
      </c>
      <c r="C37" s="93">
        <f ca="1">IFERROR(__xludf.DUMMYFUNCTION("""COMPUTED_VALUE"""),0)</f>
        <v>0</v>
      </c>
      <c r="D37" s="94" t="str">
        <f t="shared" ca="1" si="0"/>
        <v/>
      </c>
      <c r="H37" s="52"/>
    </row>
    <row r="38" spans="1:8" ht="15">
      <c r="A38" s="93"/>
      <c r="B38" s="93"/>
      <c r="C38" s="93"/>
      <c r="D38" s="94" t="str">
        <f t="shared" si="0"/>
        <v/>
      </c>
      <c r="H38" s="52"/>
    </row>
    <row r="39" spans="1:8" ht="15">
      <c r="A39" s="93" t="str">
        <f ca="1">IFERROR(__xludf.DUMMYFUNCTION("""COMPUTED_VALUE"""),"Assessoria em Tecnologia da Informação")</f>
        <v>Assessoria em Tecnologia da Informação</v>
      </c>
      <c r="B39" s="93" t="str">
        <f ca="1">IFERROR(__xludf.DUMMYFUNCTION("""COMPUTED_VALUE"""),"Bruno Silva dos Santos")</f>
        <v>Bruno Silva dos Santos</v>
      </c>
      <c r="C39" s="93">
        <f ca="1">IFERROR(__xludf.DUMMYFUNCTION("""COMPUTED_VALUE"""),1)</f>
        <v>1</v>
      </c>
      <c r="D39" s="94" t="str">
        <f t="shared" ca="1" si="0"/>
        <v>Bruno Silva dos Santos</v>
      </c>
      <c r="H39" s="52">
        <f ca="1">IFERROR(__xludf.DUMMYFUNCTION("""COMPUTED_VALUE"""),3)</f>
        <v>3</v>
      </c>
    </row>
    <row r="40" spans="1:8" ht="15">
      <c r="A40" s="93" t="str">
        <f ca="1">IFERROR(__xludf.DUMMYFUNCTION("""COMPUTED_VALUE"""),"Assessoria em Tecnologia da Informação")</f>
        <v>Assessoria em Tecnologia da Informação</v>
      </c>
      <c r="B40" s="93" t="str">
        <f ca="1">IFERROR(__xludf.DUMMYFUNCTION("""COMPUTED_VALUE"""),"Sandro Lux Santana")</f>
        <v>Sandro Lux Santana</v>
      </c>
      <c r="C40" s="93">
        <f ca="1">IFERROR(__xludf.DUMMYFUNCTION("""COMPUTED_VALUE"""),0)</f>
        <v>0</v>
      </c>
      <c r="D40" s="94" t="str">
        <f t="shared" ca="1" si="0"/>
        <v/>
      </c>
      <c r="H40" s="52"/>
    </row>
    <row r="41" spans="1:8" ht="15">
      <c r="A41" s="93" t="str">
        <f ca="1">IFERROR(__xludf.DUMMYFUNCTION("""COMPUTED_VALUE"""),"Assessoria em Tecnologia da Informação")</f>
        <v>Assessoria em Tecnologia da Informação</v>
      </c>
      <c r="B41" s="93" t="str">
        <f ca="1">IFERROR(__xludf.DUMMYFUNCTION("""COMPUTED_VALUE"""),"Wilson Santos de Jesus")</f>
        <v>Wilson Santos de Jesus</v>
      </c>
      <c r="C41" s="93">
        <f ca="1">IFERROR(__xludf.DUMMYFUNCTION("""COMPUTED_VALUE"""),0)</f>
        <v>0</v>
      </c>
      <c r="D41" s="94" t="str">
        <f t="shared" ca="1" si="0"/>
        <v/>
      </c>
      <c r="H41" s="52"/>
    </row>
    <row r="42" spans="1:8" ht="15">
      <c r="A42" s="93"/>
      <c r="B42" s="93"/>
      <c r="C42" s="93"/>
      <c r="D42" s="94" t="str">
        <f t="shared" si="0"/>
        <v/>
      </c>
      <c r="H42" s="52"/>
    </row>
    <row r="43" spans="1:8" ht="15">
      <c r="A43" s="93" t="str">
        <f ca="1">IFERROR(__xludf.DUMMYFUNCTION("""COMPUTED_VALUE"""),"SCT – Coordenação")</f>
        <v>SCT – Coordenação</v>
      </c>
      <c r="B43" s="93" t="str">
        <f ca="1">IFERROR(__xludf.DUMMYFUNCTION("""COMPUTED_VALUE"""),"Wanda Moreira Martins Santos")</f>
        <v>Wanda Moreira Martins Santos</v>
      </c>
      <c r="C43" s="93">
        <f ca="1">IFERROR(__xludf.DUMMYFUNCTION("""COMPUTED_VALUE"""),1)</f>
        <v>1</v>
      </c>
      <c r="D43" s="94" t="str">
        <f t="shared" ca="1" si="0"/>
        <v>Wanda Moreira Martins Santos</v>
      </c>
      <c r="H43" s="52">
        <f ca="1">IFERROR(__xludf.DUMMYFUNCTION("""COMPUTED_VALUE"""),1)</f>
        <v>1</v>
      </c>
    </row>
    <row r="44" spans="1:8" ht="15">
      <c r="A44" s="93"/>
      <c r="B44" s="93"/>
      <c r="C44" s="93"/>
      <c r="D44" s="94" t="str">
        <f t="shared" si="0"/>
        <v/>
      </c>
      <c r="H44" s="52"/>
    </row>
    <row r="45" spans="1:8" ht="15">
      <c r="A45" s="93" t="str">
        <f ca="1">IFERROR(__xludf.DUMMYFUNCTION("""COMPUTED_VALUE"""),"SCT - Seção de Avaliação Seleção e Aquisição")</f>
        <v>SCT - Seção de Avaliação Seleção e Aquisição</v>
      </c>
      <c r="B45" s="93" t="str">
        <f ca="1">IFERROR(__xludf.DUMMYFUNCTION("""COMPUTED_VALUE"""),"Janaina Pissinato")</f>
        <v>Janaina Pissinato</v>
      </c>
      <c r="C45" s="93">
        <f ca="1">IFERROR(__xludf.DUMMYFUNCTION("""COMPUTED_VALUE"""),1)</f>
        <v>1</v>
      </c>
      <c r="D45" s="94" t="str">
        <f t="shared" ca="1" si="0"/>
        <v>Janaina Pissinato</v>
      </c>
      <c r="H45" s="52">
        <f ca="1">IFERROR(__xludf.DUMMYFUNCTION("""COMPUTED_VALUE"""),1)</f>
        <v>1</v>
      </c>
    </row>
    <row r="46" spans="1:8" ht="15">
      <c r="A46" s="93"/>
      <c r="B46" s="93"/>
      <c r="C46" s="93"/>
      <c r="D46" s="94" t="str">
        <f t="shared" si="0"/>
        <v/>
      </c>
      <c r="H46" s="52"/>
    </row>
    <row r="47" spans="1:8" ht="15">
      <c r="A47" s="93" t="str">
        <f ca="1">IFERROR(__xludf.DUMMYFUNCTION("""COMPUTED_VALUE"""),"SCT - Setor de Expedição")</f>
        <v>SCT - Setor de Expedição</v>
      </c>
      <c r="B47" s="93" t="str">
        <f ca="1">IFERROR(__xludf.DUMMYFUNCTION("""COMPUTED_VALUE"""),"Genilson Santana dos Santos")</f>
        <v>Genilson Santana dos Santos</v>
      </c>
      <c r="C47" s="93">
        <f ca="1">IFERROR(__xludf.DUMMYFUNCTION("""COMPUTED_VALUE"""),0)</f>
        <v>0</v>
      </c>
      <c r="D47" s="94" t="str">
        <f t="shared" ca="1" si="0"/>
        <v/>
      </c>
      <c r="H47" s="52">
        <f ca="1">IFERROR(__xludf.DUMMYFUNCTION("""COMPUTED_VALUE"""),4)</f>
        <v>4</v>
      </c>
    </row>
    <row r="48" spans="1:8" ht="15">
      <c r="A48" s="93" t="str">
        <f ca="1">IFERROR(__xludf.DUMMYFUNCTION("""COMPUTED_VALUE"""),"SCT - Setor de Expedição")</f>
        <v>SCT - Setor de Expedição</v>
      </c>
      <c r="B48" s="93" t="str">
        <f ca="1">IFERROR(__xludf.DUMMYFUNCTION("""COMPUTED_VALUE"""),"Davi Barbosa do Nascimento")</f>
        <v>Davi Barbosa do Nascimento</v>
      </c>
      <c r="C48" s="93">
        <f ca="1">IFERROR(__xludf.DUMMYFUNCTION("""COMPUTED_VALUE"""),0)</f>
        <v>0</v>
      </c>
      <c r="D48" s="94" t="str">
        <f t="shared" ca="1" si="0"/>
        <v/>
      </c>
      <c r="H48" s="52"/>
    </row>
    <row r="49" spans="1:8" ht="15">
      <c r="A49" s="93" t="str">
        <f ca="1">IFERROR(__xludf.DUMMYFUNCTION("""COMPUTED_VALUE"""),"SCT - Setor de Expedição")</f>
        <v>SCT - Setor de Expedição</v>
      </c>
      <c r="B49" s="93" t="str">
        <f ca="1">IFERROR(__xludf.DUMMYFUNCTION("""COMPUTED_VALUE"""),"Vania Aparecida Camargo Penteado")</f>
        <v>Vania Aparecida Camargo Penteado</v>
      </c>
      <c r="C49" s="93">
        <f ca="1">IFERROR(__xludf.DUMMYFUNCTION("""COMPUTED_VALUE"""),0)</f>
        <v>0</v>
      </c>
      <c r="D49" s="94" t="str">
        <f t="shared" ca="1" si="0"/>
        <v/>
      </c>
      <c r="H49" s="52"/>
    </row>
    <row r="50" spans="1:8" ht="15">
      <c r="A50" s="93" t="str">
        <f ca="1">IFERROR(__xludf.DUMMYFUNCTION("""COMPUTED_VALUE"""),"SCT - Setor de Expedição")</f>
        <v>SCT - Setor de Expedição</v>
      </c>
      <c r="B50" s="93" t="str">
        <f ca="1">IFERROR(__xludf.DUMMYFUNCTION("""COMPUTED_VALUE"""),"Benedito Márcio Arruda Bonilha ")</f>
        <v xml:space="preserve">Benedito Márcio Arruda Bonilha </v>
      </c>
      <c r="C50" s="93">
        <f ca="1">IFERROR(__xludf.DUMMYFUNCTION("""COMPUTED_VALUE"""),0)</f>
        <v>0</v>
      </c>
      <c r="D50" s="94" t="str">
        <f t="shared" ca="1" si="0"/>
        <v/>
      </c>
      <c r="H50" s="52"/>
    </row>
    <row r="51" spans="1:8" ht="15">
      <c r="A51" s="93"/>
      <c r="B51" s="93"/>
      <c r="C51" s="93"/>
      <c r="D51" s="94" t="str">
        <f t="shared" si="0"/>
        <v/>
      </c>
      <c r="H51" s="52"/>
    </row>
    <row r="52" spans="1:8" ht="15">
      <c r="A52" s="93" t="str">
        <f ca="1">IFERROR(__xludf.DUMMYFUNCTION("""COMPUTED_VALUE"""),"SCT - Consistência de Dados")</f>
        <v>SCT - Consistência de Dados</v>
      </c>
      <c r="B52" s="93" t="str">
        <f ca="1">IFERROR(__xludf.DUMMYFUNCTION("""COMPUTED_VALUE"""),"Neuza Fusae Okayama Pereira")</f>
        <v>Neuza Fusae Okayama Pereira</v>
      </c>
      <c r="C52" s="93">
        <f ca="1">IFERROR(__xludf.DUMMYFUNCTION("""COMPUTED_VALUE"""),0)</f>
        <v>0</v>
      </c>
      <c r="D52" s="94" t="str">
        <f t="shared" ca="1" si="0"/>
        <v/>
      </c>
      <c r="H52" s="52">
        <f ca="1">IFERROR(__xludf.DUMMYFUNCTION("""COMPUTED_VALUE"""),5)</f>
        <v>5</v>
      </c>
    </row>
    <row r="53" spans="1:8" ht="15">
      <c r="A53" s="93" t="str">
        <f ca="1">IFERROR(__xludf.DUMMYFUNCTION("""COMPUTED_VALUE"""),"SCT - Consistência de Dados")</f>
        <v>SCT - Consistência de Dados</v>
      </c>
      <c r="B53" s="93" t="str">
        <f ca="1">IFERROR(__xludf.DUMMYFUNCTION("""COMPUTED_VALUE"""),"Denise Orioli de Queiroz")</f>
        <v>Denise Orioli de Queiroz</v>
      </c>
      <c r="C53" s="93">
        <f ca="1">IFERROR(__xludf.DUMMYFUNCTION("""COMPUTED_VALUE"""),0)</f>
        <v>0</v>
      </c>
      <c r="D53" s="94" t="str">
        <f t="shared" ca="1" si="0"/>
        <v/>
      </c>
      <c r="H53" s="52"/>
    </row>
    <row r="54" spans="1:8" ht="15">
      <c r="A54" s="93" t="str">
        <f ca="1">IFERROR(__xludf.DUMMYFUNCTION("""COMPUTED_VALUE"""),"SCT - Consistência de Dados")</f>
        <v>SCT - Consistência de Dados</v>
      </c>
      <c r="B54" s="93" t="str">
        <f ca="1">IFERROR(__xludf.DUMMYFUNCTION("""COMPUTED_VALUE"""),"Roseli Akemi Sakamoto Kikkawa")</f>
        <v>Roseli Akemi Sakamoto Kikkawa</v>
      </c>
      <c r="C54" s="93">
        <f ca="1">IFERROR(__xludf.DUMMYFUNCTION("""COMPUTED_VALUE"""),1)</f>
        <v>1</v>
      </c>
      <c r="D54" s="94" t="str">
        <f t="shared" ca="1" si="0"/>
        <v>Roseli Akemi Sakamoto Kikkawa</v>
      </c>
      <c r="H54" s="52"/>
    </row>
    <row r="55" spans="1:8" ht="15">
      <c r="A55" s="93" t="str">
        <f ca="1">IFERROR(__xludf.DUMMYFUNCTION("""COMPUTED_VALUE"""),"SCT - Consistência de Dados")</f>
        <v>SCT - Consistência de Dados</v>
      </c>
      <c r="B55" s="93" t="str">
        <f ca="1">IFERROR(__xludf.DUMMYFUNCTION("""COMPUTED_VALUE"""),"Elvira Villani ")</f>
        <v xml:space="preserve">Elvira Villani </v>
      </c>
      <c r="C55" s="93">
        <f ca="1">IFERROR(__xludf.DUMMYFUNCTION("""COMPUTED_VALUE"""),0)</f>
        <v>0</v>
      </c>
      <c r="D55" s="94" t="str">
        <f t="shared" ca="1" si="0"/>
        <v/>
      </c>
      <c r="H55" s="52"/>
    </row>
    <row r="56" spans="1:8" ht="15">
      <c r="A56" s="93" t="str">
        <f ca="1">IFERROR(__xludf.DUMMYFUNCTION("""COMPUTED_VALUE"""),"SCT - Consistência de Dados")</f>
        <v>SCT - Consistência de Dados</v>
      </c>
      <c r="B56" s="93" t="str">
        <f ca="1">IFERROR(__xludf.DUMMYFUNCTION("""COMPUTED_VALUE"""),"Claudio Roberto da Silva")</f>
        <v>Claudio Roberto da Silva</v>
      </c>
      <c r="C56" s="93">
        <f ca="1">IFERROR(__xludf.DUMMYFUNCTION("""COMPUTED_VALUE"""),0)</f>
        <v>0</v>
      </c>
      <c r="D56" s="94" t="str">
        <f t="shared" ca="1" si="0"/>
        <v/>
      </c>
      <c r="H56" s="52"/>
    </row>
    <row r="57" spans="1:8" ht="15">
      <c r="A57" s="93"/>
      <c r="B57" s="93"/>
      <c r="C57" s="93"/>
      <c r="D57" s="94" t="str">
        <f t="shared" si="0"/>
        <v/>
      </c>
      <c r="H57" s="52"/>
    </row>
    <row r="58" spans="1:8" ht="15">
      <c r="A58" s="93" t="str">
        <f ca="1">IFERROR(__xludf.DUMMYFUNCTION("""COMPUTED_VALUE"""),"SCT - Seção de Controle Bibliográfico")</f>
        <v>SCT - Seção de Controle Bibliográfico</v>
      </c>
      <c r="B58" s="93" t="str">
        <f ca="1">IFERROR(__xludf.DUMMYFUNCTION("""COMPUTED_VALUE"""),"Claudia Maria Lopes de Oliveira Vechiato")</f>
        <v>Claudia Maria Lopes de Oliveira Vechiato</v>
      </c>
      <c r="C58" s="93">
        <f ca="1">IFERROR(__xludf.DUMMYFUNCTION("""COMPUTED_VALUE"""),0)</f>
        <v>0</v>
      </c>
      <c r="D58" s="94" t="str">
        <f t="shared" ca="1" si="0"/>
        <v/>
      </c>
      <c r="H58" s="52">
        <f ca="1">IFERROR(__xludf.DUMMYFUNCTION("""COMPUTED_VALUE"""),3)</f>
        <v>3</v>
      </c>
    </row>
    <row r="59" spans="1:8" ht="15">
      <c r="A59" s="93" t="str">
        <f ca="1">IFERROR(__xludf.DUMMYFUNCTION("""COMPUTED_VALUE"""),"SCT - Seção de Controle Bibliográfico")</f>
        <v>SCT - Seção de Controle Bibliográfico</v>
      </c>
      <c r="B59" s="93" t="str">
        <f ca="1">IFERROR(__xludf.DUMMYFUNCTION("""COMPUTED_VALUE"""),"Natália Ramos Zambrano")</f>
        <v>Natália Ramos Zambrano</v>
      </c>
      <c r="C59" s="93">
        <f ca="1">IFERROR(__xludf.DUMMYFUNCTION("""COMPUTED_VALUE"""),1)</f>
        <v>1</v>
      </c>
      <c r="D59" s="94" t="str">
        <f t="shared" ca="1" si="0"/>
        <v>Natália Ramos Zambrano</v>
      </c>
      <c r="H59" s="52"/>
    </row>
    <row r="60" spans="1:8" ht="15">
      <c r="A60" s="93" t="str">
        <f ca="1">IFERROR(__xludf.DUMMYFUNCTION("""COMPUTED_VALUE"""),"SCT - Seção de Controle Bibliográfico")</f>
        <v>SCT - Seção de Controle Bibliográfico</v>
      </c>
      <c r="B60" s="93" t="str">
        <f ca="1">IFERROR(__xludf.DUMMYFUNCTION("""COMPUTED_VALUE"""),"Bárbara Samantha Freire De Paula")</f>
        <v>Bárbara Samantha Freire De Paula</v>
      </c>
      <c r="C60" s="93">
        <f ca="1">IFERROR(__xludf.DUMMYFUNCTION("""COMPUTED_VALUE"""),0)</f>
        <v>0</v>
      </c>
      <c r="D60" s="94" t="str">
        <f t="shared" ca="1" si="0"/>
        <v/>
      </c>
      <c r="H60" s="52"/>
    </row>
    <row r="61" spans="1:8" ht="15">
      <c r="A61" s="93"/>
      <c r="B61" s="93"/>
      <c r="C61" s="93"/>
      <c r="D61" s="94" t="str">
        <f t="shared" si="0"/>
        <v/>
      </c>
      <c r="H61" s="52"/>
    </row>
    <row r="62" spans="1:8" ht="15">
      <c r="A62" s="93" t="str">
        <f ca="1">IFERROR(__xludf.DUMMYFUNCTION("""COMPUTED_VALUE"""),"SCT - Controle de Vocabulário")</f>
        <v>SCT - Controle de Vocabulário</v>
      </c>
      <c r="B62" s="93" t="str">
        <f ca="1">IFERROR(__xludf.DUMMYFUNCTION("""COMPUTED_VALUE"""),"Pablo Marcos Derqui")</f>
        <v>Pablo Marcos Derqui</v>
      </c>
      <c r="C62" s="93">
        <f ca="1">IFERROR(__xludf.DUMMYFUNCTION("""COMPUTED_VALUE"""),1)</f>
        <v>1</v>
      </c>
      <c r="D62" s="94" t="str">
        <f t="shared" ca="1" si="0"/>
        <v>Pablo Marcos Derqui</v>
      </c>
      <c r="H62" s="52">
        <f ca="1">IFERROR(__xludf.DUMMYFUNCTION("""COMPUTED_VALUE"""),4)</f>
        <v>4</v>
      </c>
    </row>
    <row r="63" spans="1:8" ht="15">
      <c r="A63" s="93" t="str">
        <f ca="1">IFERROR(__xludf.DUMMYFUNCTION("""COMPUTED_VALUE"""),"SCT - Controle de Vocabulário")</f>
        <v>SCT - Controle de Vocabulário</v>
      </c>
      <c r="B63" s="93" t="str">
        <f ca="1">IFERROR(__xludf.DUMMYFUNCTION("""COMPUTED_VALUE"""),"Alessandra Pereira de Sousa")</f>
        <v>Alessandra Pereira de Sousa</v>
      </c>
      <c r="C63" s="93">
        <f ca="1">IFERROR(__xludf.DUMMYFUNCTION("""COMPUTED_VALUE"""),0)</f>
        <v>0</v>
      </c>
      <c r="D63" s="94" t="str">
        <f t="shared" ca="1" si="0"/>
        <v/>
      </c>
      <c r="H63" s="52"/>
    </row>
    <row r="64" spans="1:8" ht="15">
      <c r="A64" s="93" t="str">
        <f ca="1">IFERROR(__xludf.DUMMYFUNCTION("""COMPUTED_VALUE"""),"SCT - Controle de Vocabulário")</f>
        <v>SCT - Controle de Vocabulário</v>
      </c>
      <c r="B64" s="93" t="str">
        <f ca="1">IFERROR(__xludf.DUMMYFUNCTION("""COMPUTED_VALUE"""),"Miho Hieida")</f>
        <v>Miho Hieida</v>
      </c>
      <c r="C64" s="93">
        <f ca="1">IFERROR(__xludf.DUMMYFUNCTION("""COMPUTED_VALUE"""),0)</f>
        <v>0</v>
      </c>
      <c r="D64" s="94" t="str">
        <f t="shared" ca="1" si="0"/>
        <v/>
      </c>
      <c r="H64" s="52"/>
    </row>
    <row r="65" spans="1:8" ht="15">
      <c r="A65" s="93" t="str">
        <f ca="1">IFERROR(__xludf.DUMMYFUNCTION("""COMPUTED_VALUE"""),"SCT - Controle de Vocabulário")</f>
        <v>SCT - Controle de Vocabulário</v>
      </c>
      <c r="B65" s="93" t="str">
        <f ca="1">IFERROR(__xludf.DUMMYFUNCTION("""COMPUTED_VALUE"""),"Silvia do Carmo Vieira ")</f>
        <v xml:space="preserve">Silvia do Carmo Vieira </v>
      </c>
      <c r="C65" s="93">
        <f ca="1">IFERROR(__xludf.DUMMYFUNCTION("""COMPUTED_VALUE"""),0)</f>
        <v>0</v>
      </c>
      <c r="D65" s="94" t="str">
        <f t="shared" ca="1" si="0"/>
        <v/>
      </c>
      <c r="H65" s="52"/>
    </row>
    <row r="66" spans="1:8" ht="15">
      <c r="A66" s="93"/>
      <c r="B66" s="93"/>
      <c r="C66" s="93"/>
      <c r="D66" s="94" t="str">
        <f t="shared" si="0"/>
        <v/>
      </c>
      <c r="H66" s="52"/>
    </row>
    <row r="67" spans="1:8" ht="15">
      <c r="A67" s="93" t="str">
        <f ca="1">IFERROR(__xludf.DUMMYFUNCTION("""COMPUTED_VALUE"""),"SCT - Doação e Apoio Técnico")</f>
        <v>SCT - Doação e Apoio Técnico</v>
      </c>
      <c r="B67" s="93" t="str">
        <f ca="1">IFERROR(__xludf.DUMMYFUNCTION("""COMPUTED_VALUE"""),"Ana Lucia Moura Reis")</f>
        <v>Ana Lucia Moura Reis</v>
      </c>
      <c r="C67" s="93">
        <f ca="1">IFERROR(__xludf.DUMMYFUNCTION("""COMPUTED_VALUE"""),1)</f>
        <v>1</v>
      </c>
      <c r="D67" s="94" t="str">
        <f t="shared" ca="1" si="0"/>
        <v>Ana Lucia Moura Reis</v>
      </c>
      <c r="H67" s="52">
        <f ca="1">IFERROR(__xludf.DUMMYFUNCTION("""COMPUTED_VALUE"""),2)</f>
        <v>2</v>
      </c>
    </row>
    <row r="68" spans="1:8" ht="15">
      <c r="A68" s="93" t="str">
        <f ca="1">IFERROR(__xludf.DUMMYFUNCTION("""COMPUTED_VALUE"""),"SCT - Doação e Apoio Técnico")</f>
        <v>SCT - Doação e Apoio Técnico</v>
      </c>
      <c r="B68" s="93" t="str">
        <f ca="1">IFERROR(__xludf.DUMMYFUNCTION("""COMPUTED_VALUE"""),"Maria das Graças Nascimento Marcelino")</f>
        <v>Maria das Graças Nascimento Marcelino</v>
      </c>
      <c r="C68" s="93">
        <f ca="1">IFERROR(__xludf.DUMMYFUNCTION("""COMPUTED_VALUE"""),0)</f>
        <v>0</v>
      </c>
      <c r="D68" s="94" t="str">
        <f t="shared" ca="1" si="0"/>
        <v/>
      </c>
      <c r="H68" s="52"/>
    </row>
    <row r="69" spans="1:8" ht="15">
      <c r="A69" s="93"/>
      <c r="B69" s="93"/>
      <c r="C69" s="93"/>
      <c r="D69" s="94" t="str">
        <f t="shared" si="0"/>
        <v/>
      </c>
      <c r="H69" s="52"/>
    </row>
    <row r="70" spans="1:8" ht="15">
      <c r="A70" s="93" t="str">
        <f ca="1">IFERROR(__xludf.DUMMYFUNCTION("""COMPUTED_VALUE"""),"Supervisão de Programas e Projetos")</f>
        <v>Supervisão de Programas e Projetos</v>
      </c>
      <c r="B70" s="93" t="str">
        <f ca="1">IFERROR(__xludf.DUMMYFUNCTION("""COMPUTED_VALUE"""),"Érika Muniz Lins")</f>
        <v>Érika Muniz Lins</v>
      </c>
      <c r="C70" s="93">
        <f ca="1">IFERROR(__xludf.DUMMYFUNCTION("""COMPUTED_VALUE"""),1)</f>
        <v>1</v>
      </c>
      <c r="D70" s="94" t="str">
        <f t="shared" ca="1" si="0"/>
        <v>Érika Muniz Lins</v>
      </c>
      <c r="H70" s="52">
        <f ca="1">IFERROR(__xludf.DUMMYFUNCTION("""COMPUTED_VALUE"""),4)</f>
        <v>4</v>
      </c>
    </row>
    <row r="71" spans="1:8" ht="15">
      <c r="A71" s="93" t="str">
        <f ca="1">IFERROR(__xludf.DUMMYFUNCTION("""COMPUTED_VALUE"""),"Supervisão de Programas e Projetos")</f>
        <v>Supervisão de Programas e Projetos</v>
      </c>
      <c r="B71" s="93" t="str">
        <f ca="1">IFERROR(__xludf.DUMMYFUNCTION("""COMPUTED_VALUE"""),"Gabriel Souza Belém Pimenta dos Santos")</f>
        <v>Gabriel Souza Belém Pimenta dos Santos</v>
      </c>
      <c r="C71" s="93">
        <f ca="1">IFERROR(__xludf.DUMMYFUNCTION("""COMPUTED_VALUE"""),0)</f>
        <v>0</v>
      </c>
      <c r="D71" s="94" t="str">
        <f t="shared" ca="1" si="0"/>
        <v/>
      </c>
      <c r="H71" s="52"/>
    </row>
    <row r="72" spans="1:8" ht="15">
      <c r="A72" s="93" t="str">
        <f ca="1">IFERROR(__xludf.DUMMYFUNCTION("""COMPUTED_VALUE"""),"Supervisão de Programas e Projetos")</f>
        <v>Supervisão de Programas e Projetos</v>
      </c>
      <c r="B72" s="93" t="str">
        <f ca="1">IFERROR(__xludf.DUMMYFUNCTION("""COMPUTED_VALUE"""),"Hugo Soares Machado")</f>
        <v>Hugo Soares Machado</v>
      </c>
      <c r="C72" s="93">
        <f ca="1">IFERROR(__xludf.DUMMYFUNCTION("""COMPUTED_VALUE"""),0)</f>
        <v>0</v>
      </c>
      <c r="D72" s="94" t="str">
        <f t="shared" ca="1" si="0"/>
        <v/>
      </c>
      <c r="H72" s="52"/>
    </row>
    <row r="73" spans="1:8" ht="15">
      <c r="A73" s="93" t="str">
        <f ca="1">IFERROR(__xludf.DUMMYFUNCTION("""COMPUTED_VALUE"""),"Supervisão de Programas e Projetos")</f>
        <v>Supervisão de Programas e Projetos</v>
      </c>
      <c r="B73" s="93" t="str">
        <f ca="1">IFERROR(__xludf.DUMMYFUNCTION("""COMPUTED_VALUE"""),"Natalia Freitas Pereira")</f>
        <v>Natalia Freitas Pereira</v>
      </c>
      <c r="C73" s="93">
        <f ca="1">IFERROR(__xludf.DUMMYFUNCTION("""COMPUTED_VALUE"""),0)</f>
        <v>0</v>
      </c>
      <c r="D73" s="94" t="str">
        <f t="shared" ca="1" si="0"/>
        <v/>
      </c>
      <c r="H73" s="52"/>
    </row>
    <row r="74" spans="1:8" ht="15">
      <c r="A74" s="93"/>
      <c r="B74" s="93"/>
      <c r="C74" s="93"/>
      <c r="D74" s="94" t="str">
        <f t="shared" si="0"/>
        <v/>
      </c>
      <c r="H74" s="52"/>
    </row>
    <row r="75" spans="1:8" ht="15">
      <c r="A75" s="93" t="str">
        <f ca="1">IFERROR(__xludf.DUMMYFUNCTION("""COMPUTED_VALUE"""),"Protocolo (Lapa)**")</f>
        <v>Protocolo (Lapa)**</v>
      </c>
      <c r="B75" s="93" t="str">
        <f ca="1">IFERROR(__xludf.DUMMYFUNCTION("""COMPUTED_VALUE"""),"José Edson da Silva")</f>
        <v>José Edson da Silva</v>
      </c>
      <c r="C75" s="93">
        <f ca="1">IFERROR(__xludf.DUMMYFUNCTION("""COMPUTED_VALUE"""),1)</f>
        <v>1</v>
      </c>
      <c r="D75" s="94" t="str">
        <f t="shared" ca="1" si="0"/>
        <v>José Edson da Silva</v>
      </c>
      <c r="H75" s="52">
        <f ca="1">IFERROR(__xludf.DUMMYFUNCTION("""COMPUTED_VALUE"""),1)</f>
        <v>1</v>
      </c>
    </row>
    <row r="76" spans="1:8" ht="15">
      <c r="A76" s="93"/>
      <c r="B76" s="93"/>
      <c r="C76" s="93"/>
      <c r="D76" s="94" t="str">
        <f t="shared" si="0"/>
        <v/>
      </c>
      <c r="H76" s="52"/>
    </row>
    <row r="77" spans="1:8" ht="15">
      <c r="A77" s="93" t="str">
        <f ca="1">IFERROR(__xludf.DUMMYFUNCTION("""COMPUTED_VALUE"""),"Zeladoria*")</f>
        <v>Zeladoria*</v>
      </c>
      <c r="B77" s="93" t="str">
        <f ca="1">IFERROR(__xludf.DUMMYFUNCTION("""COMPUTED_VALUE"""),"Joel Saletti")</f>
        <v>Joel Saletti</v>
      </c>
      <c r="C77" s="93">
        <f ca="1">IFERROR(__xludf.DUMMYFUNCTION("""COMPUTED_VALUE"""),1)</f>
        <v>1</v>
      </c>
      <c r="D77" s="94" t="str">
        <f t="shared" ca="1" si="0"/>
        <v>Joel Saletti</v>
      </c>
      <c r="H77" s="52">
        <f ca="1">IFERROR(__xludf.DUMMYFUNCTION("""COMPUTED_VALUE"""),4)</f>
        <v>4</v>
      </c>
    </row>
    <row r="78" spans="1:8" ht="15">
      <c r="A78" s="93" t="str">
        <f ca="1">IFERROR(__xludf.DUMMYFUNCTION("""COMPUTED_VALUE"""),"Zeladoria*")</f>
        <v>Zeladoria*</v>
      </c>
      <c r="B78" s="93" t="str">
        <f ca="1">IFERROR(__xludf.DUMMYFUNCTION("""COMPUTED_VALUE"""),"Gabriel Pereira Barreto")</f>
        <v>Gabriel Pereira Barreto</v>
      </c>
      <c r="C78" s="93">
        <f ca="1">IFERROR(__xludf.DUMMYFUNCTION("""COMPUTED_VALUE"""),0)</f>
        <v>0</v>
      </c>
      <c r="D78" s="94" t="str">
        <f t="shared" ca="1" si="0"/>
        <v/>
      </c>
      <c r="H78" s="52"/>
    </row>
    <row r="79" spans="1:8" ht="15">
      <c r="A79" s="93" t="str">
        <f ca="1">IFERROR(__xludf.DUMMYFUNCTION("""COMPUTED_VALUE"""),"Zeladoria*")</f>
        <v>Zeladoria*</v>
      </c>
      <c r="B79" s="93" t="str">
        <f ca="1">IFERROR(__xludf.DUMMYFUNCTION("""COMPUTED_VALUE"""),"João Gomes e Silva")</f>
        <v>João Gomes e Silva</v>
      </c>
      <c r="C79" s="93">
        <f ca="1">IFERROR(__xludf.DUMMYFUNCTION("""COMPUTED_VALUE"""),0)</f>
        <v>0</v>
      </c>
      <c r="D79" s="94" t="str">
        <f t="shared" ca="1" si="0"/>
        <v/>
      </c>
      <c r="H79" s="52"/>
    </row>
    <row r="80" spans="1:8" ht="15">
      <c r="A80" s="93" t="str">
        <f ca="1">IFERROR(__xludf.DUMMYFUNCTION("""COMPUTED_VALUE"""),"Zeladoria*")</f>
        <v>Zeladoria*</v>
      </c>
      <c r="B80" s="93" t="str">
        <f ca="1">IFERROR(__xludf.DUMMYFUNCTION("""COMPUTED_VALUE"""),"Amaro Alves da Silva")</f>
        <v>Amaro Alves da Silva</v>
      </c>
      <c r="C80" s="93">
        <f ca="1">IFERROR(__xludf.DUMMYFUNCTION("""COMPUTED_VALUE"""),0)</f>
        <v>0</v>
      </c>
      <c r="D80" s="94" t="str">
        <f t="shared" ca="1" si="0"/>
        <v/>
      </c>
      <c r="H80" s="52"/>
    </row>
    <row r="81" spans="1:8" ht="15">
      <c r="A81" s="93" t="str">
        <f ca="1">IFERROR(__xludf.DUMMYFUNCTION("""COMPUTED_VALUE"""),"-")</f>
        <v>-</v>
      </c>
      <c r="B81" s="93" t="str">
        <f ca="1">IFERROR(__xludf.DUMMYFUNCTION("""COMPUTED_VALUE"""),"-")</f>
        <v>-</v>
      </c>
      <c r="C81" s="93">
        <f ca="1">IFERROR(__xludf.DUMMYFUNCTION("""COMPUTED_VALUE"""),0)</f>
        <v>0</v>
      </c>
      <c r="D81" s="94" t="str">
        <f t="shared" ca="1" si="0"/>
        <v/>
      </c>
      <c r="H81" s="52"/>
    </row>
    <row r="82" spans="1:8" ht="12.75">
      <c r="A82" s="93"/>
      <c r="B82" s="93"/>
      <c r="C82" s="93"/>
      <c r="D82" s="93"/>
      <c r="H82" s="52"/>
    </row>
    <row r="83" spans="1:8" ht="12.75">
      <c r="A83" s="93"/>
      <c r="B83" s="93"/>
      <c r="C83" s="93">
        <f ca="1">IFERROR(__xludf.DUMMYFUNCTION("""COMPUTED_VALUE"""),17)</f>
        <v>17</v>
      </c>
      <c r="D83" s="93"/>
      <c r="H83" s="52">
        <f ca="1">IFERROR(__xludf.DUMMYFUNCTION("""COMPUTED_VALUE"""),64)</f>
        <v>64</v>
      </c>
    </row>
    <row r="84" spans="1:8" ht="12.75"/>
    <row r="85" spans="1:8" ht="12.75"/>
    <row r="86" spans="1:8" ht="12.75"/>
    <row r="87" spans="1:8" ht="12.75"/>
    <row r="88" spans="1:8" ht="12.75"/>
    <row r="89" spans="1:8" ht="12.75"/>
    <row r="90" spans="1:8" ht="12.75"/>
    <row r="91" spans="1:8" ht="12.75"/>
    <row r="92" spans="1:8" ht="12.75"/>
    <row r="93" spans="1:8" ht="12.75"/>
    <row r="94" spans="1:8" ht="12.75"/>
    <row r="95" spans="1:8" ht="12.75"/>
    <row r="96" spans="1:8" ht="12.75"/>
    <row r="97" ht="12.75"/>
    <row r="98" ht="12.75"/>
    <row r="99" ht="12.75"/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>
    <outlinePr summaryBelow="0" summaryRight="0"/>
  </sheetPr>
  <dimension ref="A1:H412"/>
  <sheetViews>
    <sheetView workbookViewId="0">
      <selection activeCell="C3" sqref="C3"/>
    </sheetView>
  </sheetViews>
  <sheetFormatPr defaultColWidth="12.5703125" defaultRowHeight="15.75" customHeight="1"/>
  <cols>
    <col min="1" max="1" width="49.7109375" bestFit="1" customWidth="1"/>
    <col min="2" max="2" width="35.140625" customWidth="1"/>
    <col min="4" max="4" width="37.140625" customWidth="1"/>
    <col min="5" max="5" width="30" customWidth="1"/>
    <col min="6" max="7" width="31.140625" customWidth="1"/>
    <col min="8" max="8" width="18.140625" customWidth="1"/>
  </cols>
  <sheetData>
    <row r="1" spans="1:8" ht="15.75" customHeight="1">
      <c r="A1" s="96" t="str">
        <f ca="1">IFERROR(__xludf.DUMMYFUNCTION("IMPORTRANGE(""1UwBEczQmPcrI9wtIZdda9LccAr_zrr8rITmOrURuNmA/edit#gid=1996709131"",""Bibliotecas!a2:a306"")"),"BIBLIOTECA")</f>
        <v>BIBLIOTECA</v>
      </c>
      <c r="B1" s="96" t="str">
        <f ca="1">IFERROR(__xludf.DUMMYFUNCTION("IMPORTRANGE(""1UwBEczQmPcrI9wtIZdda9LccAr_zrr8rITmOrURuNmA/edit#gid=1996709131"",""Bibliotecas!g2:g306"")"),"NOME")</f>
        <v>NOME</v>
      </c>
      <c r="C1" s="96" t="str">
        <f ca="1">IFERROR(__xludf.DUMMYFUNCTION("IMPORTRANGE(""1UwBEczQmPcrI9wtIZdda9LccAr_zrr8rITmOrURuNmA/edit#gid=1996709131"",""Bibliotecas!i2:i306"")"),"COORDENAÇÃO")</f>
        <v>COORDENAÇÃO</v>
      </c>
      <c r="D1" s="97" t="s">
        <v>3937</v>
      </c>
      <c r="E1" s="454" t="s">
        <v>3938</v>
      </c>
      <c r="F1" s="385"/>
      <c r="G1" s="96"/>
      <c r="H1" s="96" t="str">
        <f ca="1">IFERROR(__xludf.DUMMYFUNCTION("IMPORTRANGE(""1UwBEczQmPcrI9wtIZdda9LccAr_zrr8rITmOrURuNmA/edit#gid=1996709131"",""Bibliotecas!o2:o307"")"),"TOTAL FUNCIONÁRIOS ")</f>
        <v xml:space="preserve">TOTAL FUNCIONÁRIOS </v>
      </c>
    </row>
    <row r="2" spans="1:8" ht="15">
      <c r="A2" s="93" t="str">
        <f ca="1">IFERROR(__xludf.DUMMYFUNCTION("""COMPUTED_VALUE"""),"Adelpha Figueiredo")</f>
        <v>Adelpha Figueiredo</v>
      </c>
      <c r="B2" s="93" t="str">
        <f ca="1">IFERROR(__xludf.DUMMYFUNCTION("""COMPUTED_VALUE"""),"Antonio José dos Santos")</f>
        <v>Antonio José dos Santos</v>
      </c>
      <c r="C2" s="93">
        <f ca="1">IFERROR(__xludf.DUMMYFUNCTION("""COMPUTED_VALUE"""),0)</f>
        <v>0</v>
      </c>
      <c r="D2" s="98" t="str">
        <f t="shared" ref="D2:D256" ca="1" si="0">IF(C2 = 1,(B2),"")</f>
        <v/>
      </c>
      <c r="E2" s="99" t="s">
        <v>835</v>
      </c>
      <c r="F2" s="99" t="str">
        <f ca="1">CONCATENATE($D2:$D5)</f>
        <v/>
      </c>
      <c r="G2" s="93" t="str">
        <f t="shared" ref="G2:G55" ca="1" si="1">IF(F2 = "", "Sueli,Roseli,Adilva",F2)</f>
        <v>Sueli,Roseli,Adilva</v>
      </c>
      <c r="H2" s="93">
        <f ca="1">IFERROR(__xludf.DUMMYFUNCTION("""COMPUTED_VALUE"""),4)</f>
        <v>4</v>
      </c>
    </row>
    <row r="3" spans="1:8" ht="15">
      <c r="A3" s="93" t="str">
        <f ca="1">IFERROR(__xludf.DUMMYFUNCTION("""COMPUTED_VALUE"""),"Adelpha Figueiredo")</f>
        <v>Adelpha Figueiredo</v>
      </c>
      <c r="B3" s="93" t="str">
        <f ca="1">IFERROR(__xludf.DUMMYFUNCTION("""COMPUTED_VALUE"""),"Renan Wangler de Andrade Silva")</f>
        <v>Renan Wangler de Andrade Silva</v>
      </c>
      <c r="C3" s="93">
        <f ca="1">IFERROR(__xludf.DUMMYFUNCTION("""COMPUTED_VALUE"""),1)</f>
        <v>1</v>
      </c>
      <c r="D3" s="98" t="str">
        <f t="shared" ca="1" si="0"/>
        <v>Renan Wangler de Andrade Silva</v>
      </c>
      <c r="E3" s="99" t="s">
        <v>3939</v>
      </c>
      <c r="F3" s="99" t="e">
        <f>CONCATENATE(D7:D11)</f>
        <v>#VALUE!</v>
      </c>
      <c r="G3" s="93" t="e">
        <f t="shared" si="1"/>
        <v>#VALUE!</v>
      </c>
      <c r="H3" s="93"/>
    </row>
    <row r="4" spans="1:8" ht="15">
      <c r="A4" s="93" t="str">
        <f ca="1">IFERROR(__xludf.DUMMYFUNCTION("""COMPUTED_VALUE"""),"Adelpha Figueiredo")</f>
        <v>Adelpha Figueiredo</v>
      </c>
      <c r="B4" s="93" t="str">
        <f ca="1">IFERROR(__xludf.DUMMYFUNCTION("""COMPUTED_VALUE"""),"Wander Samuel de Oliveira")</f>
        <v>Wander Samuel de Oliveira</v>
      </c>
      <c r="C4" s="93">
        <f ca="1">IFERROR(__xludf.DUMMYFUNCTION("""COMPUTED_VALUE"""),0)</f>
        <v>0</v>
      </c>
      <c r="D4" s="98" t="str">
        <f t="shared" ca="1" si="0"/>
        <v/>
      </c>
      <c r="E4" s="99" t="s">
        <v>845</v>
      </c>
      <c r="F4" s="99" t="e">
        <f>CONCATENATE(D13:D21)</f>
        <v>#VALUE!</v>
      </c>
      <c r="G4" s="93" t="e">
        <f t="shared" si="1"/>
        <v>#VALUE!</v>
      </c>
      <c r="H4" s="93"/>
    </row>
    <row r="5" spans="1:8" ht="15">
      <c r="A5" s="93" t="str">
        <f ca="1">IFERROR(__xludf.DUMMYFUNCTION("""COMPUTED_VALUE"""),"Adelpha Figueiredo")</f>
        <v>Adelpha Figueiredo</v>
      </c>
      <c r="B5" s="93" t="str">
        <f ca="1">IFERROR(__xludf.DUMMYFUNCTION("""COMPUTED_VALUE"""),"Osana Maria Cândido")</f>
        <v>Osana Maria Cândido</v>
      </c>
      <c r="C5" s="93">
        <f ca="1">IFERROR(__xludf.DUMMYFUNCTION("""COMPUTED_VALUE"""),0)</f>
        <v>0</v>
      </c>
      <c r="D5" s="98" t="str">
        <f t="shared" ca="1" si="0"/>
        <v/>
      </c>
      <c r="E5" s="99" t="s">
        <v>846</v>
      </c>
      <c r="F5" s="99" t="e">
        <f>CONCATENATE(D23:D27)</f>
        <v>#VALUE!</v>
      </c>
      <c r="G5" s="93" t="e">
        <f t="shared" si="1"/>
        <v>#VALUE!</v>
      </c>
      <c r="H5" s="93"/>
    </row>
    <row r="6" spans="1:8" ht="15">
      <c r="A6" s="93"/>
      <c r="B6" s="93"/>
      <c r="C6" s="93"/>
      <c r="D6" s="98" t="str">
        <f t="shared" si="0"/>
        <v/>
      </c>
      <c r="E6" s="99" t="s">
        <v>849</v>
      </c>
      <c r="F6" s="99" t="e">
        <f>CONCATENATE(D29:D32)</f>
        <v>#VALUE!</v>
      </c>
      <c r="G6" s="93" t="e">
        <f t="shared" si="1"/>
        <v>#VALUE!</v>
      </c>
      <c r="H6" s="93"/>
    </row>
    <row r="7" spans="1:8" ht="15">
      <c r="A7" s="93" t="str">
        <f ca="1">IFERROR(__xludf.DUMMYFUNCTION("""COMPUTED_VALUE"""),"Affonso Taunay")</f>
        <v>Affonso Taunay</v>
      </c>
      <c r="B7" s="93" t="str">
        <f ca="1">IFERROR(__xludf.DUMMYFUNCTION("""COMPUTED_VALUE"""),"Rosa Aparecida Bin Oliveira")</f>
        <v>Rosa Aparecida Bin Oliveira</v>
      </c>
      <c r="C7" s="93">
        <f ca="1">IFERROR(__xludf.DUMMYFUNCTION("""COMPUTED_VALUE"""),0)</f>
        <v>0</v>
      </c>
      <c r="D7" s="98" t="str">
        <f t="shared" ca="1" si="0"/>
        <v/>
      </c>
      <c r="E7" s="99" t="s">
        <v>851</v>
      </c>
      <c r="F7" s="99" t="e">
        <f>CONCATENATE(D34:D37)</f>
        <v>#VALUE!</v>
      </c>
      <c r="G7" s="93" t="e">
        <f t="shared" si="1"/>
        <v>#VALUE!</v>
      </c>
      <c r="H7" s="93">
        <f ca="1">IFERROR(__xludf.DUMMYFUNCTION("""COMPUTED_VALUE"""),5)</f>
        <v>5</v>
      </c>
    </row>
    <row r="8" spans="1:8" ht="15">
      <c r="A8" s="93" t="str">
        <f ca="1">IFERROR(__xludf.DUMMYFUNCTION("""COMPUTED_VALUE"""),"Affonso Taunay")</f>
        <v>Affonso Taunay</v>
      </c>
      <c r="B8" s="93" t="str">
        <f ca="1">IFERROR(__xludf.DUMMYFUNCTION("""COMPUTED_VALUE"""),"Meire Rose Stankevicius Bassi ")</f>
        <v xml:space="preserve">Meire Rose Stankevicius Bassi </v>
      </c>
      <c r="C8" s="93">
        <f ca="1">IFERROR(__xludf.DUMMYFUNCTION("""COMPUTED_VALUE"""),1)</f>
        <v>1</v>
      </c>
      <c r="D8" s="98" t="str">
        <f t="shared" ca="1" si="0"/>
        <v xml:space="preserve">Meire Rose Stankevicius Bassi </v>
      </c>
      <c r="E8" s="99" t="s">
        <v>852</v>
      </c>
      <c r="F8" s="99" t="e">
        <f>CONCATENATE(D39:D41)</f>
        <v>#VALUE!</v>
      </c>
      <c r="G8" s="93" t="e">
        <f t="shared" si="1"/>
        <v>#VALUE!</v>
      </c>
      <c r="H8" s="93"/>
    </row>
    <row r="9" spans="1:8" ht="15">
      <c r="A9" s="93" t="str">
        <f ca="1">IFERROR(__xludf.DUMMYFUNCTION("""COMPUTED_VALUE"""),"Affonso Taunay")</f>
        <v>Affonso Taunay</v>
      </c>
      <c r="B9" s="93" t="str">
        <f ca="1">IFERROR(__xludf.DUMMYFUNCTION("""COMPUTED_VALUE"""),"Bruna Berllini Pereira    ")</f>
        <v xml:space="preserve">Bruna Berllini Pereira    </v>
      </c>
      <c r="C9" s="93">
        <f ca="1">IFERROR(__xludf.DUMMYFUNCTION("""COMPUTED_VALUE"""),0)</f>
        <v>0</v>
      </c>
      <c r="D9" s="98" t="str">
        <f t="shared" ca="1" si="0"/>
        <v/>
      </c>
      <c r="E9" s="99" t="s">
        <v>855</v>
      </c>
      <c r="F9" s="99" t="e">
        <f>CONCATENATE(D43:D47)</f>
        <v>#VALUE!</v>
      </c>
      <c r="G9" s="93" t="e">
        <f t="shared" si="1"/>
        <v>#VALUE!</v>
      </c>
      <c r="H9" s="93"/>
    </row>
    <row r="10" spans="1:8" ht="15">
      <c r="A10" s="93" t="str">
        <f ca="1">IFERROR(__xludf.DUMMYFUNCTION("""COMPUTED_VALUE"""),"Affonso Taunay")</f>
        <v>Affonso Taunay</v>
      </c>
      <c r="B10" s="93" t="str">
        <f ca="1">IFERROR(__xludf.DUMMYFUNCTION("""COMPUTED_VALUE"""),"Andreia Regina Vieira Passos")</f>
        <v>Andreia Regina Vieira Passos</v>
      </c>
      <c r="C10" s="93">
        <f ca="1">IFERROR(__xludf.DUMMYFUNCTION("""COMPUTED_VALUE"""),0)</f>
        <v>0</v>
      </c>
      <c r="D10" s="98" t="str">
        <f t="shared" ca="1" si="0"/>
        <v/>
      </c>
      <c r="E10" s="99" t="s">
        <v>856</v>
      </c>
      <c r="F10" s="99" t="e">
        <f>CONCATENATE(D49:D53)</f>
        <v>#VALUE!</v>
      </c>
      <c r="G10" s="93" t="e">
        <f t="shared" si="1"/>
        <v>#VALUE!</v>
      </c>
      <c r="H10" s="93"/>
    </row>
    <row r="11" spans="1:8" ht="15">
      <c r="A11" s="93" t="str">
        <f ca="1">IFERROR(__xludf.DUMMYFUNCTION("""COMPUTED_VALUE"""),"Affonso Taunay")</f>
        <v>Affonso Taunay</v>
      </c>
      <c r="B11" s="93" t="str">
        <f ca="1">IFERROR(__xludf.DUMMYFUNCTION("""COMPUTED_VALUE"""),"Tania Cristina Santaella")</f>
        <v>Tania Cristina Santaella</v>
      </c>
      <c r="C11" s="93">
        <f ca="1">IFERROR(__xludf.DUMMYFUNCTION("""COMPUTED_VALUE"""),0)</f>
        <v>0</v>
      </c>
      <c r="D11" s="98" t="str">
        <f t="shared" ca="1" si="0"/>
        <v/>
      </c>
      <c r="E11" s="99" t="s">
        <v>858</v>
      </c>
      <c r="F11" s="99" t="e">
        <f>CONCATENATE(D55:D56)</f>
        <v>#VALUE!</v>
      </c>
      <c r="G11" s="93" t="e">
        <f t="shared" si="1"/>
        <v>#VALUE!</v>
      </c>
      <c r="H11" s="93"/>
    </row>
    <row r="12" spans="1:8" ht="15">
      <c r="A12" s="93"/>
      <c r="B12" s="93"/>
      <c r="C12" s="93"/>
      <c r="D12" s="98" t="str">
        <f t="shared" si="0"/>
        <v/>
      </c>
      <c r="E12" s="99" t="s">
        <v>860</v>
      </c>
      <c r="F12" s="99" t="e">
        <f>CONCATENATE(D58:D62)</f>
        <v>#VALUE!</v>
      </c>
      <c r="G12" s="93" t="e">
        <f t="shared" si="1"/>
        <v>#VALUE!</v>
      </c>
      <c r="H12" s="93"/>
    </row>
    <row r="13" spans="1:8" ht="15">
      <c r="A13" s="93" t="str">
        <f ca="1">IFERROR(__xludf.DUMMYFUNCTION("""COMPUTED_VALUE"""),"Afonso Schmidt")</f>
        <v>Afonso Schmidt</v>
      </c>
      <c r="B13" s="93" t="str">
        <f ca="1">IFERROR(__xludf.DUMMYFUNCTION("""COMPUTED_VALUE"""),"João Batista de Figueiredo")</f>
        <v>João Batista de Figueiredo</v>
      </c>
      <c r="C13" s="93">
        <f ca="1">IFERROR(__xludf.DUMMYFUNCTION("""COMPUTED_VALUE"""),0)</f>
        <v>0</v>
      </c>
      <c r="D13" s="98" t="str">
        <f t="shared" ca="1" si="0"/>
        <v/>
      </c>
      <c r="E13" s="99" t="s">
        <v>862</v>
      </c>
      <c r="F13" s="99" t="e">
        <f>CONCATENATE(D64:D68)</f>
        <v>#VALUE!</v>
      </c>
      <c r="G13" s="93" t="e">
        <f t="shared" si="1"/>
        <v>#VALUE!</v>
      </c>
      <c r="H13" s="93">
        <f ca="1">IFERROR(__xludf.DUMMYFUNCTION("""COMPUTED_VALUE"""),9)</f>
        <v>9</v>
      </c>
    </row>
    <row r="14" spans="1:8" ht="15">
      <c r="A14" s="93" t="str">
        <f ca="1">IFERROR(__xludf.DUMMYFUNCTION("""COMPUTED_VALUE"""),"Afonso Schmidt")</f>
        <v>Afonso Schmidt</v>
      </c>
      <c r="B14" s="93" t="str">
        <f ca="1">IFERROR(__xludf.DUMMYFUNCTION("""COMPUTED_VALUE"""),"Helio Benedito Carlos de Oliveira")</f>
        <v>Helio Benedito Carlos de Oliveira</v>
      </c>
      <c r="C14" s="93">
        <f ca="1">IFERROR(__xludf.DUMMYFUNCTION("""COMPUTED_VALUE"""),0)</f>
        <v>0</v>
      </c>
      <c r="D14" s="98" t="str">
        <f t="shared" ca="1" si="0"/>
        <v/>
      </c>
      <c r="E14" s="100" t="s">
        <v>863</v>
      </c>
      <c r="F14" s="99" t="e">
        <f>CONCATENATE(D70:D73)</f>
        <v>#VALUE!</v>
      </c>
      <c r="G14" s="93" t="e">
        <f t="shared" si="1"/>
        <v>#VALUE!</v>
      </c>
      <c r="H14" s="93"/>
    </row>
    <row r="15" spans="1:8" ht="15">
      <c r="A15" s="93" t="str">
        <f ca="1">IFERROR(__xludf.DUMMYFUNCTION("""COMPUTED_VALUE"""),"Afonso Schmidt")</f>
        <v>Afonso Schmidt</v>
      </c>
      <c r="B15" s="93" t="str">
        <f ca="1">IFERROR(__xludf.DUMMYFUNCTION("""COMPUTED_VALUE"""),"Cristiane Pinto Tobias de Melo")</f>
        <v>Cristiane Pinto Tobias de Melo</v>
      </c>
      <c r="C15" s="93">
        <f ca="1">IFERROR(__xludf.DUMMYFUNCTION("""COMPUTED_VALUE"""),0)</f>
        <v>0</v>
      </c>
      <c r="D15" s="98" t="str">
        <f t="shared" ca="1" si="0"/>
        <v/>
      </c>
      <c r="E15" s="100" t="s">
        <v>870</v>
      </c>
      <c r="F15" s="99" t="e">
        <f>CONCATENATE(D75:D79)</f>
        <v>#VALUE!</v>
      </c>
      <c r="G15" s="93" t="e">
        <f t="shared" si="1"/>
        <v>#VALUE!</v>
      </c>
      <c r="H15" s="93"/>
    </row>
    <row r="16" spans="1:8" ht="15">
      <c r="A16" s="93" t="str">
        <f ca="1">IFERROR(__xludf.DUMMYFUNCTION("""COMPUTED_VALUE"""),"Afonso Schmidt")</f>
        <v>Afonso Schmidt</v>
      </c>
      <c r="B16" s="93" t="str">
        <f ca="1">IFERROR(__xludf.DUMMYFUNCTION("""COMPUTED_VALUE"""),"Otaviano Pereira de França")</f>
        <v>Otaviano Pereira de França</v>
      </c>
      <c r="C16" s="93">
        <f ca="1">IFERROR(__xludf.DUMMYFUNCTION("""COMPUTED_VALUE"""),0)</f>
        <v>0</v>
      </c>
      <c r="D16" s="98" t="str">
        <f t="shared" ca="1" si="0"/>
        <v/>
      </c>
      <c r="E16" s="100" t="s">
        <v>872</v>
      </c>
      <c r="F16" s="99" t="e">
        <f>CONCATENATE(D81:D83)</f>
        <v>#VALUE!</v>
      </c>
      <c r="G16" s="93" t="e">
        <f t="shared" si="1"/>
        <v>#VALUE!</v>
      </c>
      <c r="H16" s="93"/>
    </row>
    <row r="17" spans="1:8" ht="15">
      <c r="A17" s="93" t="str">
        <f ca="1">IFERROR(__xludf.DUMMYFUNCTION("""COMPUTED_VALUE"""),"Afonso Schmidt")</f>
        <v>Afonso Schmidt</v>
      </c>
      <c r="B17" s="93" t="str">
        <f ca="1">IFERROR(__xludf.DUMMYFUNCTION("""COMPUTED_VALUE"""),"Elaine Oliveira")</f>
        <v>Elaine Oliveira</v>
      </c>
      <c r="C17" s="93">
        <f ca="1">IFERROR(__xludf.DUMMYFUNCTION("""COMPUTED_VALUE"""),0)</f>
        <v>0</v>
      </c>
      <c r="D17" s="98" t="str">
        <f t="shared" ca="1" si="0"/>
        <v/>
      </c>
      <c r="E17" s="100" t="s">
        <v>874</v>
      </c>
      <c r="F17" s="99" t="e">
        <f>CONCATENATE(D85:D88)</f>
        <v>#VALUE!</v>
      </c>
      <c r="G17" s="93" t="e">
        <f t="shared" si="1"/>
        <v>#VALUE!</v>
      </c>
      <c r="H17" s="93"/>
    </row>
    <row r="18" spans="1:8" ht="15">
      <c r="A18" s="93" t="str">
        <f ca="1">IFERROR(__xludf.DUMMYFUNCTION("""COMPUTED_VALUE"""),"Afonso Schmidt")</f>
        <v>Afonso Schmidt</v>
      </c>
      <c r="B18" s="93" t="str">
        <f ca="1">IFERROR(__xludf.DUMMYFUNCTION("""COMPUTED_VALUE"""),"Elisabete Ferreira Filipini")</f>
        <v>Elisabete Ferreira Filipini</v>
      </c>
      <c r="C18" s="93">
        <f ca="1">IFERROR(__xludf.DUMMYFUNCTION("""COMPUTED_VALUE"""),0)</f>
        <v>0</v>
      </c>
      <c r="D18" s="98" t="str">
        <f t="shared" ca="1" si="0"/>
        <v/>
      </c>
      <c r="E18" s="100" t="s">
        <v>876</v>
      </c>
      <c r="F18" s="99" t="e">
        <f>CONCATENATE(D90:D93)</f>
        <v>#VALUE!</v>
      </c>
      <c r="G18" s="93" t="e">
        <f t="shared" si="1"/>
        <v>#VALUE!</v>
      </c>
      <c r="H18" s="93"/>
    </row>
    <row r="19" spans="1:8" ht="15">
      <c r="A19" s="93" t="str">
        <f ca="1">IFERROR(__xludf.DUMMYFUNCTION("""COMPUTED_VALUE"""),"Afonso Schmidt")</f>
        <v>Afonso Schmidt</v>
      </c>
      <c r="B19" s="93" t="str">
        <f ca="1">IFERROR(__xludf.DUMMYFUNCTION("""COMPUTED_VALUE"""),"Emanuela Fernandes Arantes")</f>
        <v>Emanuela Fernandes Arantes</v>
      </c>
      <c r="C19" s="93">
        <f ca="1">IFERROR(__xludf.DUMMYFUNCTION("""COMPUTED_VALUE"""),1)</f>
        <v>1</v>
      </c>
      <c r="D19" s="98" t="str">
        <f t="shared" ca="1" si="0"/>
        <v>Emanuela Fernandes Arantes</v>
      </c>
      <c r="E19" s="100" t="s">
        <v>878</v>
      </c>
      <c r="F19" s="99" t="e">
        <f>CONCATENATE(D95:D96)</f>
        <v>#VALUE!</v>
      </c>
      <c r="G19" s="93" t="e">
        <f t="shared" si="1"/>
        <v>#VALUE!</v>
      </c>
      <c r="H19" s="93"/>
    </row>
    <row r="20" spans="1:8" ht="15">
      <c r="A20" s="93" t="str">
        <f ca="1">IFERROR(__xludf.DUMMYFUNCTION("""COMPUTED_VALUE"""),"Afonso Schmidt")</f>
        <v>Afonso Schmidt</v>
      </c>
      <c r="B20" s="93" t="str">
        <f ca="1">IFERROR(__xludf.DUMMYFUNCTION("""COMPUTED_VALUE"""),"Reginaldo Jose Bernardes da Cruz")</f>
        <v>Reginaldo Jose Bernardes da Cruz</v>
      </c>
      <c r="C20" s="93">
        <f ca="1">IFERROR(__xludf.DUMMYFUNCTION("""COMPUTED_VALUE"""),0)</f>
        <v>0</v>
      </c>
      <c r="D20" s="98" t="str">
        <f t="shared" ca="1" si="0"/>
        <v/>
      </c>
      <c r="E20" s="100" t="s">
        <v>880</v>
      </c>
      <c r="F20" s="99" t="e">
        <f>CONCATENATE(D98:D100)</f>
        <v>#VALUE!</v>
      </c>
      <c r="G20" s="93" t="e">
        <f t="shared" si="1"/>
        <v>#VALUE!</v>
      </c>
      <c r="H20" s="93"/>
    </row>
    <row r="21" spans="1:8" ht="15">
      <c r="A21" s="93" t="str">
        <f ca="1">IFERROR(__xludf.DUMMYFUNCTION("""COMPUTED_VALUE"""),"Afonso Schmidt")</f>
        <v>Afonso Schmidt</v>
      </c>
      <c r="B21" s="93" t="str">
        <f ca="1">IFERROR(__xludf.DUMMYFUNCTION("""COMPUTED_VALUE"""),"Paulo Sergio Benvindo de Castro")</f>
        <v>Paulo Sergio Benvindo de Castro</v>
      </c>
      <c r="C21" s="93">
        <f ca="1">IFERROR(__xludf.DUMMYFUNCTION("""COMPUTED_VALUE"""),0)</f>
        <v>0</v>
      </c>
      <c r="D21" s="98" t="str">
        <f t="shared" ca="1" si="0"/>
        <v/>
      </c>
      <c r="E21" s="100" t="s">
        <v>881</v>
      </c>
      <c r="F21" s="99" t="e">
        <f>CONCATENATE(D102:D107)</f>
        <v>#VALUE!</v>
      </c>
      <c r="G21" s="93" t="e">
        <f t="shared" si="1"/>
        <v>#VALUE!</v>
      </c>
      <c r="H21" s="93"/>
    </row>
    <row r="22" spans="1:8" ht="15">
      <c r="A22" s="93"/>
      <c r="B22" s="93"/>
      <c r="C22" s="93"/>
      <c r="D22" s="98" t="str">
        <f t="shared" si="0"/>
        <v/>
      </c>
      <c r="E22" s="100" t="s">
        <v>883</v>
      </c>
      <c r="F22" s="99" t="e">
        <f>CONCATENATE(D109:D112)</f>
        <v>#VALUE!</v>
      </c>
      <c r="G22" s="93" t="e">
        <f t="shared" si="1"/>
        <v>#VALUE!</v>
      </c>
      <c r="H22" s="93"/>
    </row>
    <row r="23" spans="1:8" ht="15">
      <c r="A23" s="93" t="str">
        <f ca="1">IFERROR(__xludf.DUMMYFUNCTION("""COMPUTED_VALUE"""),"Alceu Amoroso Lima")</f>
        <v>Alceu Amoroso Lima</v>
      </c>
      <c r="B23" s="93" t="str">
        <f ca="1">IFERROR(__xludf.DUMMYFUNCTION("""COMPUTED_VALUE"""),"Ana Cristina Guimarães Moreira")</f>
        <v>Ana Cristina Guimarães Moreira</v>
      </c>
      <c r="C23" s="93">
        <f ca="1">IFERROR(__xludf.DUMMYFUNCTION("""COMPUTED_VALUE"""),0)</f>
        <v>0</v>
      </c>
      <c r="D23" s="98" t="str">
        <f t="shared" ca="1" si="0"/>
        <v/>
      </c>
      <c r="E23" s="100" t="s">
        <v>885</v>
      </c>
      <c r="F23" s="99" t="e">
        <f>CONCATENATE(D114:D117)</f>
        <v>#VALUE!</v>
      </c>
      <c r="G23" s="93" t="e">
        <f t="shared" si="1"/>
        <v>#VALUE!</v>
      </c>
      <c r="H23" s="93">
        <f ca="1">IFERROR(__xludf.DUMMYFUNCTION("""COMPUTED_VALUE"""),5)</f>
        <v>5</v>
      </c>
    </row>
    <row r="24" spans="1:8" ht="15">
      <c r="A24" s="93" t="str">
        <f ca="1">IFERROR(__xludf.DUMMYFUNCTION("""COMPUTED_VALUE"""),"Alceu Amoroso Lima")</f>
        <v>Alceu Amoroso Lima</v>
      </c>
      <c r="B24" s="93" t="str">
        <f ca="1">IFERROR(__xludf.DUMMYFUNCTION("""COMPUTED_VALUE"""),"Maria Aparecida Silva de Araújo Abreu")</f>
        <v>Maria Aparecida Silva de Araújo Abreu</v>
      </c>
      <c r="C24" s="93">
        <f ca="1">IFERROR(__xludf.DUMMYFUNCTION("""COMPUTED_VALUE"""),0)</f>
        <v>0</v>
      </c>
      <c r="D24" s="98" t="str">
        <f t="shared" ca="1" si="0"/>
        <v/>
      </c>
      <c r="E24" s="99" t="s">
        <v>886</v>
      </c>
      <c r="F24" s="99" t="e">
        <f>CONCATENATE(D119:D120)</f>
        <v>#VALUE!</v>
      </c>
      <c r="G24" s="93" t="e">
        <f t="shared" si="1"/>
        <v>#VALUE!</v>
      </c>
      <c r="H24" s="93"/>
    </row>
    <row r="25" spans="1:8" ht="15">
      <c r="A25" s="93" t="str">
        <f ca="1">IFERROR(__xludf.DUMMYFUNCTION("""COMPUTED_VALUE"""),"Alceu Amoroso Lima")</f>
        <v>Alceu Amoroso Lima</v>
      </c>
      <c r="B25" s="93" t="str">
        <f ca="1">IFERROR(__xludf.DUMMYFUNCTION("""COMPUTED_VALUE"""),"Marcos César Triches")</f>
        <v>Marcos César Triches</v>
      </c>
      <c r="C25" s="93">
        <f ca="1">IFERROR(__xludf.DUMMYFUNCTION("""COMPUTED_VALUE"""),1)</f>
        <v>1</v>
      </c>
      <c r="D25" s="98" t="str">
        <f t="shared" ca="1" si="0"/>
        <v>Marcos César Triches</v>
      </c>
      <c r="E25" s="100" t="s">
        <v>888</v>
      </c>
      <c r="F25" s="99" t="e">
        <f>CONCATENATE(D122:D126)</f>
        <v>#VALUE!</v>
      </c>
      <c r="G25" s="93" t="e">
        <f t="shared" si="1"/>
        <v>#VALUE!</v>
      </c>
      <c r="H25" s="93"/>
    </row>
    <row r="26" spans="1:8" ht="15">
      <c r="A26" s="93" t="str">
        <f ca="1">IFERROR(__xludf.DUMMYFUNCTION("""COMPUTED_VALUE"""),"Alceu Amoroso Lima")</f>
        <v>Alceu Amoroso Lima</v>
      </c>
      <c r="B26" s="93" t="str">
        <f ca="1">IFERROR(__xludf.DUMMYFUNCTION("""COMPUTED_VALUE"""),"Magali Machado de Almeida")</f>
        <v>Magali Machado de Almeida</v>
      </c>
      <c r="C26" s="93">
        <f ca="1">IFERROR(__xludf.DUMMYFUNCTION("""COMPUTED_VALUE"""),0)</f>
        <v>0</v>
      </c>
      <c r="D26" s="98" t="str">
        <f t="shared" ca="1" si="0"/>
        <v/>
      </c>
      <c r="E26" s="100" t="s">
        <v>890</v>
      </c>
      <c r="F26" s="99" t="e">
        <f>CONCATENATE(D128:D132)</f>
        <v>#VALUE!</v>
      </c>
      <c r="G26" s="93" t="e">
        <f t="shared" si="1"/>
        <v>#VALUE!</v>
      </c>
      <c r="H26" s="93"/>
    </row>
    <row r="27" spans="1:8" ht="15">
      <c r="A27" s="93" t="str">
        <f ca="1">IFERROR(__xludf.DUMMYFUNCTION("""COMPUTED_VALUE"""),"Alceu Amoroso Lima")</f>
        <v>Alceu Amoroso Lima</v>
      </c>
      <c r="B27" s="93" t="str">
        <f ca="1">IFERROR(__xludf.DUMMYFUNCTION("""COMPUTED_VALUE"""),"Marcos Antonio de Moraes Martins")</f>
        <v>Marcos Antonio de Moraes Martins</v>
      </c>
      <c r="C27" s="93">
        <f ca="1">IFERROR(__xludf.DUMMYFUNCTION("""COMPUTED_VALUE"""),0)</f>
        <v>0</v>
      </c>
      <c r="D27" s="98" t="str">
        <f t="shared" ca="1" si="0"/>
        <v/>
      </c>
      <c r="E27" s="100" t="s">
        <v>891</v>
      </c>
      <c r="F27" s="99" t="e">
        <f>CONCATENATE(D134:D138)</f>
        <v>#VALUE!</v>
      </c>
      <c r="G27" s="93" t="e">
        <f t="shared" si="1"/>
        <v>#VALUE!</v>
      </c>
      <c r="H27" s="93"/>
    </row>
    <row r="28" spans="1:8" ht="15">
      <c r="A28" s="93"/>
      <c r="B28" s="93"/>
      <c r="C28" s="93"/>
      <c r="D28" s="98" t="str">
        <f t="shared" si="0"/>
        <v/>
      </c>
      <c r="E28" s="100" t="s">
        <v>894</v>
      </c>
      <c r="F28" s="99" t="e">
        <f>CONCATENATE(D141:D146)</f>
        <v>#VALUE!</v>
      </c>
      <c r="G28" s="93" t="e">
        <f t="shared" si="1"/>
        <v>#VALUE!</v>
      </c>
      <c r="H28" s="93"/>
    </row>
    <row r="29" spans="1:8" ht="15">
      <c r="A29" s="93" t="str">
        <f ca="1">IFERROR(__xludf.DUMMYFUNCTION("""COMPUTED_VALUE"""),"Álvares de Azevedo")</f>
        <v>Álvares de Azevedo</v>
      </c>
      <c r="B29" s="93" t="str">
        <f ca="1">IFERROR(__xludf.DUMMYFUNCTION("""COMPUTED_VALUE"""),"Fatima Andrietta Lemos")</f>
        <v>Fatima Andrietta Lemos</v>
      </c>
      <c r="C29" s="93">
        <f ca="1">IFERROR(__xludf.DUMMYFUNCTION("""COMPUTED_VALUE"""),0)</f>
        <v>0</v>
      </c>
      <c r="D29" s="98" t="str">
        <f t="shared" ca="1" si="0"/>
        <v/>
      </c>
      <c r="E29" s="100" t="s">
        <v>896</v>
      </c>
      <c r="F29" s="99" t="e">
        <f>CONCATENATE(D148:D152)</f>
        <v>#VALUE!</v>
      </c>
      <c r="G29" s="93" t="e">
        <f t="shared" si="1"/>
        <v>#VALUE!</v>
      </c>
      <c r="H29" s="93">
        <f ca="1">IFERROR(__xludf.DUMMYFUNCTION("""COMPUTED_VALUE"""),4)</f>
        <v>4</v>
      </c>
    </row>
    <row r="30" spans="1:8" ht="15">
      <c r="A30" s="93" t="str">
        <f ca="1">IFERROR(__xludf.DUMMYFUNCTION("""COMPUTED_VALUE"""),"Álvares de Azevedo")</f>
        <v>Álvares de Azevedo</v>
      </c>
      <c r="B30" s="93" t="str">
        <f ca="1">IFERROR(__xludf.DUMMYFUNCTION("""COMPUTED_VALUE"""),"Elaine Telles Rodrigues")</f>
        <v>Elaine Telles Rodrigues</v>
      </c>
      <c r="C30" s="93">
        <f ca="1">IFERROR(__xludf.DUMMYFUNCTION("""COMPUTED_VALUE"""),1)</f>
        <v>1</v>
      </c>
      <c r="D30" s="98" t="str">
        <f t="shared" ca="1" si="0"/>
        <v>Elaine Telles Rodrigues</v>
      </c>
      <c r="E30" s="100" t="s">
        <v>897</v>
      </c>
      <c r="F30" s="99" t="e">
        <f>CONCATENATE(D154:D157)</f>
        <v>#VALUE!</v>
      </c>
      <c r="G30" s="93" t="e">
        <f t="shared" si="1"/>
        <v>#VALUE!</v>
      </c>
      <c r="H30" s="93"/>
    </row>
    <row r="31" spans="1:8" ht="15">
      <c r="A31" s="93" t="str">
        <f ca="1">IFERROR(__xludf.DUMMYFUNCTION("""COMPUTED_VALUE"""),"Álvares de Azevedo")</f>
        <v>Álvares de Azevedo</v>
      </c>
      <c r="B31" s="93" t="str">
        <f ca="1">IFERROR(__xludf.DUMMYFUNCTION("""COMPUTED_VALUE"""),"Ieda Aparecida Oliveira")</f>
        <v>Ieda Aparecida Oliveira</v>
      </c>
      <c r="C31" s="93"/>
      <c r="D31" s="98" t="str">
        <f t="shared" si="0"/>
        <v/>
      </c>
      <c r="E31" s="100" t="s">
        <v>901</v>
      </c>
      <c r="F31" s="99" t="e">
        <f>CONCATENATE(D159:D162)</f>
        <v>#VALUE!</v>
      </c>
      <c r="G31" s="93" t="e">
        <f t="shared" si="1"/>
        <v>#VALUE!</v>
      </c>
      <c r="H31" s="93"/>
    </row>
    <row r="32" spans="1:8" ht="15">
      <c r="A32" s="93" t="str">
        <f ca="1">IFERROR(__xludf.DUMMYFUNCTION("""COMPUTED_VALUE"""),"Álvares de Azevedo")</f>
        <v>Álvares de Azevedo</v>
      </c>
      <c r="B32" s="93" t="str">
        <f ca="1">IFERROR(__xludf.DUMMYFUNCTION("""COMPUTED_VALUE"""),"Fatima da Silva Lourenço ")</f>
        <v xml:space="preserve">Fatima da Silva Lourenço </v>
      </c>
      <c r="C32" s="93">
        <f ca="1">IFERROR(__xludf.DUMMYFUNCTION("""COMPUTED_VALUE"""),0)</f>
        <v>0</v>
      </c>
      <c r="D32" s="98" t="str">
        <f t="shared" ca="1" si="0"/>
        <v/>
      </c>
      <c r="E32" s="100" t="s">
        <v>902</v>
      </c>
      <c r="F32" s="99" t="e">
        <f>CONCATENATE(D164:D169)</f>
        <v>#VALUE!</v>
      </c>
      <c r="G32" s="93" t="e">
        <f t="shared" si="1"/>
        <v>#VALUE!</v>
      </c>
      <c r="H32" s="93"/>
    </row>
    <row r="33" spans="1:8" ht="15">
      <c r="A33" s="93"/>
      <c r="B33" s="93"/>
      <c r="C33" s="93"/>
      <c r="D33" s="98" t="str">
        <f t="shared" si="0"/>
        <v/>
      </c>
      <c r="E33" s="100" t="s">
        <v>904</v>
      </c>
      <c r="F33" s="99" t="e">
        <f>CONCATENATE(D171:D173)</f>
        <v>#VALUE!</v>
      </c>
      <c r="G33" s="93" t="e">
        <f t="shared" si="1"/>
        <v>#VALUE!</v>
      </c>
      <c r="H33" s="93"/>
    </row>
    <row r="34" spans="1:8" ht="15">
      <c r="A34" s="93" t="str">
        <f ca="1">IFERROR(__xludf.DUMMYFUNCTION("""COMPUTED_VALUE"""),"Álvaro Guerra")</f>
        <v>Álvaro Guerra</v>
      </c>
      <c r="B34" s="93" t="str">
        <f ca="1">IFERROR(__xludf.DUMMYFUNCTION("""COMPUTED_VALUE"""),"Maria Angélica Martins Costa ")</f>
        <v xml:space="preserve">Maria Angélica Martins Costa </v>
      </c>
      <c r="C34" s="93">
        <f ca="1">IFERROR(__xludf.DUMMYFUNCTION("""COMPUTED_VALUE"""),1)</f>
        <v>1</v>
      </c>
      <c r="D34" s="98" t="str">
        <f t="shared" ca="1" si="0"/>
        <v xml:space="preserve">Maria Angélica Martins Costa </v>
      </c>
      <c r="E34" s="100" t="s">
        <v>906</v>
      </c>
      <c r="F34" s="99" t="e">
        <f>CONCATENATE(D175:D187)</f>
        <v>#VALUE!</v>
      </c>
      <c r="G34" s="93" t="e">
        <f t="shared" si="1"/>
        <v>#VALUE!</v>
      </c>
      <c r="H34" s="93">
        <f ca="1">IFERROR(__xludf.DUMMYFUNCTION("""COMPUTED_VALUE"""),4)</f>
        <v>4</v>
      </c>
    </row>
    <row r="35" spans="1:8" ht="15">
      <c r="A35" s="93" t="str">
        <f ca="1">IFERROR(__xludf.DUMMYFUNCTION("""COMPUTED_VALUE"""),"Álvaro Guerra")</f>
        <v>Álvaro Guerra</v>
      </c>
      <c r="B35" s="93" t="str">
        <f ca="1">IFERROR(__xludf.DUMMYFUNCTION("""COMPUTED_VALUE"""),"Camila Soares Correa")</f>
        <v>Camila Soares Correa</v>
      </c>
      <c r="C35" s="93">
        <f ca="1">IFERROR(__xludf.DUMMYFUNCTION("""COMPUTED_VALUE"""),0)</f>
        <v>0</v>
      </c>
      <c r="D35" s="98" t="str">
        <f t="shared" ca="1" si="0"/>
        <v/>
      </c>
      <c r="E35" s="100" t="s">
        <v>907</v>
      </c>
      <c r="F35" s="99" t="e">
        <f>CONCATENATE(D188:D192)</f>
        <v>#VALUE!</v>
      </c>
      <c r="G35" s="93" t="e">
        <f t="shared" si="1"/>
        <v>#VALUE!</v>
      </c>
      <c r="H35" s="93"/>
    </row>
    <row r="36" spans="1:8" ht="15">
      <c r="A36" s="93" t="str">
        <f ca="1">IFERROR(__xludf.DUMMYFUNCTION("""COMPUTED_VALUE"""),"Álvaro Guerra")</f>
        <v>Álvaro Guerra</v>
      </c>
      <c r="B36" s="93" t="str">
        <f ca="1">IFERROR(__xludf.DUMMYFUNCTION("""COMPUTED_VALUE"""),"Antonio Carlos de Mello Pereira")</f>
        <v>Antonio Carlos de Mello Pereira</v>
      </c>
      <c r="C36" s="93">
        <f ca="1">IFERROR(__xludf.DUMMYFUNCTION("""COMPUTED_VALUE"""),0)</f>
        <v>0</v>
      </c>
      <c r="D36" s="98" t="str">
        <f t="shared" ca="1" si="0"/>
        <v/>
      </c>
      <c r="E36" s="100" t="s">
        <v>908</v>
      </c>
      <c r="F36" s="99" t="e">
        <f>CONCATENATE(D194:D199)</f>
        <v>#VALUE!</v>
      </c>
      <c r="G36" s="93" t="e">
        <f t="shared" si="1"/>
        <v>#VALUE!</v>
      </c>
      <c r="H36" s="93"/>
    </row>
    <row r="37" spans="1:8" ht="15">
      <c r="A37" s="93" t="str">
        <f ca="1">IFERROR(__xludf.DUMMYFUNCTION("""COMPUTED_VALUE"""),"Álvaro Guerra")</f>
        <v>Álvaro Guerra</v>
      </c>
      <c r="B37" s="93" t="str">
        <f ca="1">IFERROR(__xludf.DUMMYFUNCTION("""COMPUTED_VALUE"""),"Osvaldo Dias Tavares")</f>
        <v>Osvaldo Dias Tavares</v>
      </c>
      <c r="C37" s="93">
        <f ca="1">IFERROR(__xludf.DUMMYFUNCTION("""COMPUTED_VALUE"""),0)</f>
        <v>0</v>
      </c>
      <c r="D37" s="98" t="str">
        <f t="shared" ca="1" si="0"/>
        <v/>
      </c>
      <c r="E37" s="100" t="s">
        <v>910</v>
      </c>
      <c r="F37" s="99" t="e">
        <f>CONCATENATE(D201:D206)</f>
        <v>#VALUE!</v>
      </c>
      <c r="G37" s="93" t="e">
        <f t="shared" si="1"/>
        <v>#VALUE!</v>
      </c>
      <c r="H37" s="93"/>
    </row>
    <row r="38" spans="1:8" ht="15">
      <c r="A38" s="93"/>
      <c r="B38" s="93"/>
      <c r="C38" s="93"/>
      <c r="D38" s="98" t="str">
        <f t="shared" si="0"/>
        <v/>
      </c>
      <c r="E38" s="100" t="s">
        <v>1066</v>
      </c>
      <c r="F38" s="99" t="str">
        <f>CONCATENATE(D209)</f>
        <v/>
      </c>
      <c r="G38" s="93" t="str">
        <f t="shared" si="1"/>
        <v>Sueli,Roseli,Adilva</v>
      </c>
      <c r="H38" s="93"/>
    </row>
    <row r="39" spans="1:8" ht="15">
      <c r="A39" s="93" t="str">
        <f ca="1">IFERROR(__xludf.DUMMYFUNCTION("""COMPUTED_VALUE"""),"Amadeu Amaral")</f>
        <v>Amadeu Amaral</v>
      </c>
      <c r="B39" s="93" t="str">
        <f ca="1">IFERROR(__xludf.DUMMYFUNCTION("""COMPUTED_VALUE"""),"Cecília Loeffel Noce Gobi")</f>
        <v>Cecília Loeffel Noce Gobi</v>
      </c>
      <c r="C39" s="93">
        <f ca="1">IFERROR(__xludf.DUMMYFUNCTION("""COMPUTED_VALUE"""),0)</f>
        <v>0</v>
      </c>
      <c r="D39" s="98" t="str">
        <f t="shared" ca="1" si="0"/>
        <v/>
      </c>
      <c r="E39" s="100" t="s">
        <v>912</v>
      </c>
      <c r="F39" s="99" t="str">
        <f>CONCATENATE(D211)</f>
        <v/>
      </c>
      <c r="G39" s="93" t="str">
        <f t="shared" si="1"/>
        <v>Sueli,Roseli,Adilva</v>
      </c>
      <c r="H39" s="93">
        <f ca="1">IFERROR(__xludf.DUMMYFUNCTION("""COMPUTED_VALUE"""),3)</f>
        <v>3</v>
      </c>
    </row>
    <row r="40" spans="1:8" ht="15">
      <c r="A40" s="93" t="str">
        <f ca="1">IFERROR(__xludf.DUMMYFUNCTION("""COMPUTED_VALUE"""),"Amadeu Amaral")</f>
        <v>Amadeu Amaral</v>
      </c>
      <c r="B40" s="93" t="str">
        <f ca="1">IFERROR(__xludf.DUMMYFUNCTION("""COMPUTED_VALUE"""),"Romildo Gregório de Lira")</f>
        <v>Romildo Gregório de Lira</v>
      </c>
      <c r="C40" s="93">
        <f ca="1">IFERROR(__xludf.DUMMYFUNCTION("""COMPUTED_VALUE"""),1)</f>
        <v>1</v>
      </c>
      <c r="D40" s="98" t="str">
        <f t="shared" ca="1" si="0"/>
        <v>Romildo Gregório de Lira</v>
      </c>
      <c r="E40" s="100" t="s">
        <v>1077</v>
      </c>
      <c r="F40" s="99" t="e">
        <f>CONCATENATE(D219:D220)</f>
        <v>#VALUE!</v>
      </c>
      <c r="G40" s="93" t="e">
        <f t="shared" si="1"/>
        <v>#VALUE!</v>
      </c>
      <c r="H40" s="93"/>
    </row>
    <row r="41" spans="1:8" ht="15">
      <c r="A41" s="93" t="str">
        <f ca="1">IFERROR(__xludf.DUMMYFUNCTION("""COMPUTED_VALUE"""),"Amadeu Amaral")</f>
        <v>Amadeu Amaral</v>
      </c>
      <c r="B41" s="93" t="str">
        <f ca="1">IFERROR(__xludf.DUMMYFUNCTION("""COMPUTED_VALUE"""),"Maria de Fátima Alves")</f>
        <v>Maria de Fátima Alves</v>
      </c>
      <c r="C41" s="93">
        <f ca="1">IFERROR(__xludf.DUMMYFUNCTION("""COMPUTED_VALUE"""),0)</f>
        <v>0</v>
      </c>
      <c r="D41" s="98" t="str">
        <f t="shared" ca="1" si="0"/>
        <v/>
      </c>
      <c r="E41" s="100" t="s">
        <v>914</v>
      </c>
      <c r="F41" s="99" t="e">
        <f>CONCATENATE(D222:D224)</f>
        <v>#VALUE!</v>
      </c>
      <c r="G41" s="93" t="e">
        <f t="shared" si="1"/>
        <v>#VALUE!</v>
      </c>
      <c r="H41" s="93"/>
    </row>
    <row r="42" spans="1:8" ht="15">
      <c r="A42" s="93"/>
      <c r="B42" s="93"/>
      <c r="C42" s="93"/>
      <c r="D42" s="98" t="str">
        <f t="shared" si="0"/>
        <v/>
      </c>
      <c r="E42" s="100" t="s">
        <v>915</v>
      </c>
      <c r="F42" s="99" t="e">
        <f>CONCATENATE(D225:D230)</f>
        <v>#VALUE!</v>
      </c>
      <c r="G42" s="93" t="e">
        <f t="shared" si="1"/>
        <v>#VALUE!</v>
      </c>
      <c r="H42" s="93"/>
    </row>
    <row r="43" spans="1:8" ht="15">
      <c r="A43" s="93" t="str">
        <f ca="1">IFERROR(__xludf.DUMMYFUNCTION("""COMPUTED_VALUE"""),"Anne Frank")</f>
        <v>Anne Frank</v>
      </c>
      <c r="B43" s="93" t="str">
        <f ca="1">IFERROR(__xludf.DUMMYFUNCTION("""COMPUTED_VALUE"""),"Maria Luciane Charapa Alves")</f>
        <v>Maria Luciane Charapa Alves</v>
      </c>
      <c r="C43" s="93">
        <f ca="1">IFERROR(__xludf.DUMMYFUNCTION("""COMPUTED_VALUE"""),0)</f>
        <v>0</v>
      </c>
      <c r="D43" s="98" t="str">
        <f t="shared" ca="1" si="0"/>
        <v/>
      </c>
      <c r="E43" s="100" t="s">
        <v>917</v>
      </c>
      <c r="F43" s="99" t="e">
        <f>CONCATENATE(D232:D234)</f>
        <v>#VALUE!</v>
      </c>
      <c r="G43" s="93" t="e">
        <f t="shared" si="1"/>
        <v>#VALUE!</v>
      </c>
      <c r="H43" s="93">
        <f ca="1">IFERROR(__xludf.DUMMYFUNCTION("""COMPUTED_VALUE"""),5)</f>
        <v>5</v>
      </c>
    </row>
    <row r="44" spans="1:8" ht="15">
      <c r="A44" s="93" t="str">
        <f ca="1">IFERROR(__xludf.DUMMYFUNCTION("""COMPUTED_VALUE"""),"Anne Frank")</f>
        <v>Anne Frank</v>
      </c>
      <c r="B44" s="93" t="str">
        <f ca="1">IFERROR(__xludf.DUMMYFUNCTION("""COMPUTED_VALUE"""),"Gean Carlos de Carvalho")</f>
        <v>Gean Carlos de Carvalho</v>
      </c>
      <c r="C44" s="93">
        <f ca="1">IFERROR(__xludf.DUMMYFUNCTION("""COMPUTED_VALUE"""),0)</f>
        <v>0</v>
      </c>
      <c r="D44" s="98" t="str">
        <f t="shared" ca="1" si="0"/>
        <v/>
      </c>
      <c r="E44" s="100" t="s">
        <v>918</v>
      </c>
      <c r="F44" s="99" t="e">
        <f>CONCATENATE(D236:D242)</f>
        <v>#VALUE!</v>
      </c>
      <c r="G44" s="93" t="e">
        <f t="shared" si="1"/>
        <v>#VALUE!</v>
      </c>
      <c r="H44" s="93"/>
    </row>
    <row r="45" spans="1:8" ht="15">
      <c r="A45" s="93" t="str">
        <f ca="1">IFERROR(__xludf.DUMMYFUNCTION("""COMPUTED_VALUE"""),"Anne Frank")</f>
        <v>Anne Frank</v>
      </c>
      <c r="B45" s="93" t="str">
        <f ca="1">IFERROR(__xludf.DUMMYFUNCTION("""COMPUTED_VALUE"""),"Raquel Barioni Abdalla")</f>
        <v>Raquel Barioni Abdalla</v>
      </c>
      <c r="C45" s="93">
        <f ca="1">IFERROR(__xludf.DUMMYFUNCTION("""COMPUTED_VALUE"""),0)</f>
        <v>0</v>
      </c>
      <c r="D45" s="98" t="str">
        <f t="shared" ca="1" si="0"/>
        <v/>
      </c>
      <c r="E45" s="100" t="s">
        <v>920</v>
      </c>
      <c r="F45" s="99" t="e">
        <f>CONCATENATE(D245:D247)</f>
        <v>#VALUE!</v>
      </c>
      <c r="G45" s="93" t="e">
        <f t="shared" si="1"/>
        <v>#VALUE!</v>
      </c>
      <c r="H45" s="93"/>
    </row>
    <row r="46" spans="1:8" ht="15">
      <c r="A46" s="93" t="str">
        <f ca="1">IFERROR(__xludf.DUMMYFUNCTION("""COMPUTED_VALUE"""),"Anne Frank")</f>
        <v>Anne Frank</v>
      </c>
      <c r="B46" s="93" t="str">
        <f ca="1">IFERROR(__xludf.DUMMYFUNCTION("""COMPUTED_VALUE"""),"Marcelo Paulino de Araújo")</f>
        <v>Marcelo Paulino de Araújo</v>
      </c>
      <c r="C46" s="93">
        <f ca="1">IFERROR(__xludf.DUMMYFUNCTION("""COMPUTED_VALUE"""),0)</f>
        <v>0</v>
      </c>
      <c r="D46" s="98" t="str">
        <f t="shared" ca="1" si="0"/>
        <v/>
      </c>
      <c r="E46" s="100" t="s">
        <v>921</v>
      </c>
      <c r="F46" s="99" t="e">
        <f>CONCATENATE(D249:D253)</f>
        <v>#VALUE!</v>
      </c>
      <c r="G46" s="93" t="e">
        <f t="shared" si="1"/>
        <v>#VALUE!</v>
      </c>
      <c r="H46" s="93"/>
    </row>
    <row r="47" spans="1:8" ht="15">
      <c r="A47" s="93" t="str">
        <f ca="1">IFERROR(__xludf.DUMMYFUNCTION("""COMPUTED_VALUE"""),"Anne Frank")</f>
        <v>Anne Frank</v>
      </c>
      <c r="B47" s="93" t="str">
        <f ca="1">IFERROR(__xludf.DUMMYFUNCTION("""COMPUTED_VALUE"""),"William Okubo")</f>
        <v>William Okubo</v>
      </c>
      <c r="C47" s="93">
        <f ca="1">IFERROR(__xludf.DUMMYFUNCTION("""COMPUTED_VALUE"""),1)</f>
        <v>1</v>
      </c>
      <c r="D47" s="98" t="str">
        <f t="shared" ca="1" si="0"/>
        <v>William Okubo</v>
      </c>
      <c r="E47" s="100" t="s">
        <v>923</v>
      </c>
      <c r="F47" s="99" t="e">
        <f>CONCATENATE(D255:D259)</f>
        <v>#VALUE!</v>
      </c>
      <c r="G47" s="93" t="e">
        <f t="shared" si="1"/>
        <v>#VALUE!</v>
      </c>
      <c r="H47" s="93"/>
    </row>
    <row r="48" spans="1:8" ht="15">
      <c r="A48" s="93"/>
      <c r="B48" s="93"/>
      <c r="C48" s="93"/>
      <c r="D48" s="98" t="str">
        <f t="shared" si="0"/>
        <v/>
      </c>
      <c r="E48" s="100" t="s">
        <v>925</v>
      </c>
      <c r="F48" s="99" t="e">
        <f>CONCATENATE(D260:D263)</f>
        <v>#VALUE!</v>
      </c>
      <c r="G48" s="93" t="e">
        <f t="shared" si="1"/>
        <v>#VALUE!</v>
      </c>
      <c r="H48" s="93"/>
    </row>
    <row r="49" spans="1:8" ht="15">
      <c r="A49" s="93" t="str">
        <f ca="1">IFERROR(__xludf.DUMMYFUNCTION("""COMPUTED_VALUE"""),"Aureliano Leite")</f>
        <v>Aureliano Leite</v>
      </c>
      <c r="B49" s="93" t="str">
        <f ca="1">IFERROR(__xludf.DUMMYFUNCTION("""COMPUTED_VALUE"""),"Alessandro Acacio Rodrigues Paes ")</f>
        <v xml:space="preserve">Alessandro Acacio Rodrigues Paes </v>
      </c>
      <c r="C49" s="93">
        <f ca="1">IFERROR(__xludf.DUMMYFUNCTION("""COMPUTED_VALUE"""),1)</f>
        <v>1</v>
      </c>
      <c r="D49" s="98" t="str">
        <f t="shared" ca="1" si="0"/>
        <v xml:space="preserve">Alessandro Acacio Rodrigues Paes </v>
      </c>
      <c r="E49" s="100" t="s">
        <v>927</v>
      </c>
      <c r="F49" s="99" t="e">
        <f>CONCATENATE(D265:D268)</f>
        <v>#VALUE!</v>
      </c>
      <c r="G49" s="93" t="e">
        <f t="shared" si="1"/>
        <v>#VALUE!</v>
      </c>
      <c r="H49" s="93">
        <f ca="1">IFERROR(__xludf.DUMMYFUNCTION("""COMPUTED_VALUE"""),5)</f>
        <v>5</v>
      </c>
    </row>
    <row r="50" spans="1:8" ht="15">
      <c r="A50" s="93" t="str">
        <f ca="1">IFERROR(__xludf.DUMMYFUNCTION("""COMPUTED_VALUE"""),"Aureliano Leite")</f>
        <v>Aureliano Leite</v>
      </c>
      <c r="B50" s="93" t="str">
        <f ca="1">IFERROR(__xludf.DUMMYFUNCTION("""COMPUTED_VALUE"""),"David Alves Pereira")</f>
        <v>David Alves Pereira</v>
      </c>
      <c r="C50" s="93">
        <f ca="1">IFERROR(__xludf.DUMMYFUNCTION("""COMPUTED_VALUE"""),0)</f>
        <v>0</v>
      </c>
      <c r="D50" s="98" t="str">
        <f t="shared" ca="1" si="0"/>
        <v/>
      </c>
      <c r="E50" s="100" t="s">
        <v>929</v>
      </c>
      <c r="F50" s="99" t="e">
        <f>CONCATENATE(D270:D273)</f>
        <v>#VALUE!</v>
      </c>
      <c r="G50" s="93" t="e">
        <f t="shared" si="1"/>
        <v>#VALUE!</v>
      </c>
      <c r="H50" s="93"/>
    </row>
    <row r="51" spans="1:8" ht="15">
      <c r="A51" s="93" t="str">
        <f ca="1">IFERROR(__xludf.DUMMYFUNCTION("""COMPUTED_VALUE"""),"Aureliano Leite")</f>
        <v>Aureliano Leite</v>
      </c>
      <c r="B51" s="93" t="str">
        <f ca="1">IFERROR(__xludf.DUMMYFUNCTION("""COMPUTED_VALUE"""),"José Gutemberg da Silva")</f>
        <v>José Gutemberg da Silva</v>
      </c>
      <c r="C51" s="93">
        <f ca="1">IFERROR(__xludf.DUMMYFUNCTION("""COMPUTED_VALUE"""),0)</f>
        <v>0</v>
      </c>
      <c r="D51" s="98" t="str">
        <f t="shared" ca="1" si="0"/>
        <v/>
      </c>
      <c r="E51" s="100" t="s">
        <v>930</v>
      </c>
      <c r="F51" s="99" t="e">
        <f>CONCATENATE(D275:D278)</f>
        <v>#VALUE!</v>
      </c>
      <c r="G51" s="93" t="e">
        <f t="shared" si="1"/>
        <v>#VALUE!</v>
      </c>
      <c r="H51" s="93"/>
    </row>
    <row r="52" spans="1:8" ht="15">
      <c r="A52" s="93" t="str">
        <f ca="1">IFERROR(__xludf.DUMMYFUNCTION("""COMPUTED_VALUE"""),"Aureliano Leite")</f>
        <v>Aureliano Leite</v>
      </c>
      <c r="B52" s="93" t="str">
        <f ca="1">IFERROR(__xludf.DUMMYFUNCTION("""COMPUTED_VALUE"""),"Yara Pereira dos Santos")</f>
        <v>Yara Pereira dos Santos</v>
      </c>
      <c r="C52" s="93">
        <f ca="1">IFERROR(__xludf.DUMMYFUNCTION("""COMPUTED_VALUE"""),0)</f>
        <v>0</v>
      </c>
      <c r="D52" s="98" t="str">
        <f t="shared" ca="1" si="0"/>
        <v/>
      </c>
      <c r="E52" s="100" t="s">
        <v>931</v>
      </c>
      <c r="F52" s="99" t="e">
        <f>CONCATENATE(D280:D285)</f>
        <v>#VALUE!</v>
      </c>
      <c r="G52" s="93" t="e">
        <f t="shared" si="1"/>
        <v>#VALUE!</v>
      </c>
      <c r="H52" s="93"/>
    </row>
    <row r="53" spans="1:8" ht="15">
      <c r="A53" s="93" t="str">
        <f ca="1">IFERROR(__xludf.DUMMYFUNCTION("""COMPUTED_VALUE"""),"Aureliano Leite")</f>
        <v>Aureliano Leite</v>
      </c>
      <c r="B53" s="93" t="str">
        <f ca="1">IFERROR(__xludf.DUMMYFUNCTION("""COMPUTED_VALUE"""),"Antonio Carlos Santos")</f>
        <v>Antonio Carlos Santos</v>
      </c>
      <c r="C53" s="93">
        <f ca="1">IFERROR(__xludf.DUMMYFUNCTION("""COMPUTED_VALUE"""),0)</f>
        <v>0</v>
      </c>
      <c r="D53" s="98" t="str">
        <f t="shared" ca="1" si="0"/>
        <v/>
      </c>
      <c r="E53" s="100" t="s">
        <v>935</v>
      </c>
      <c r="F53" s="99" t="e">
        <f>CONCATENATE(D286:D291)</f>
        <v>#VALUE!</v>
      </c>
      <c r="G53" s="93" t="e">
        <f t="shared" si="1"/>
        <v>#VALUE!</v>
      </c>
      <c r="H53" s="93"/>
    </row>
    <row r="54" spans="1:8" ht="15">
      <c r="A54" s="93"/>
      <c r="B54" s="93"/>
      <c r="C54" s="93"/>
      <c r="D54" s="98" t="str">
        <f t="shared" si="0"/>
        <v/>
      </c>
      <c r="E54" s="100" t="s">
        <v>937</v>
      </c>
      <c r="F54" s="99" t="e">
        <f>CONCATENATE(D293:D299)</f>
        <v>#VALUE!</v>
      </c>
      <c r="G54" s="93" t="e">
        <f t="shared" si="1"/>
        <v>#VALUE!</v>
      </c>
      <c r="H54" s="93"/>
    </row>
    <row r="55" spans="1:8" ht="15">
      <c r="A55" s="93" t="str">
        <f ca="1">IFERROR(__xludf.DUMMYFUNCTION("""COMPUTED_VALUE"""),"Belmonte")</f>
        <v>Belmonte</v>
      </c>
      <c r="B55" s="93" t="str">
        <f ca="1">IFERROR(__xludf.DUMMYFUNCTION("""COMPUTED_VALUE"""),"Sabino Pereira Lopes")</f>
        <v>Sabino Pereira Lopes</v>
      </c>
      <c r="C55" s="93">
        <f ca="1">IFERROR(__xludf.DUMMYFUNCTION("""COMPUTED_VALUE"""),0)</f>
        <v>0</v>
      </c>
      <c r="D55" s="98" t="str">
        <f t="shared" ca="1" si="0"/>
        <v/>
      </c>
      <c r="E55" s="100" t="s">
        <v>939</v>
      </c>
      <c r="F55" s="99" t="e">
        <f>CONCATENATE(D300:D305)</f>
        <v>#VALUE!</v>
      </c>
      <c r="G55" s="93" t="e">
        <f t="shared" si="1"/>
        <v>#VALUE!</v>
      </c>
      <c r="H55" s="93">
        <f ca="1">IFERROR(__xludf.DUMMYFUNCTION("""COMPUTED_VALUE"""),2)</f>
        <v>2</v>
      </c>
    </row>
    <row r="56" spans="1:8" ht="15">
      <c r="A56" s="93" t="str">
        <f ca="1">IFERROR(__xludf.DUMMYFUNCTION("""COMPUTED_VALUE"""),"Belmonte")</f>
        <v>Belmonte</v>
      </c>
      <c r="B56" s="93" t="str">
        <f ca="1">IFERROR(__xludf.DUMMYFUNCTION("""COMPUTED_VALUE"""),"Jomar de Jesus Santos ")</f>
        <v xml:space="preserve">Jomar de Jesus Santos </v>
      </c>
      <c r="C56" s="93">
        <f ca="1">IFERROR(__xludf.DUMMYFUNCTION("""COMPUTED_VALUE"""),1)</f>
        <v>1</v>
      </c>
      <c r="D56" s="94" t="str">
        <f t="shared" ca="1" si="0"/>
        <v xml:space="preserve">Jomar de Jesus Santos </v>
      </c>
      <c r="E56" s="100"/>
      <c r="F56" s="99"/>
      <c r="G56" s="93"/>
      <c r="H56" s="93"/>
    </row>
    <row r="57" spans="1:8" ht="15">
      <c r="A57" s="93"/>
      <c r="B57" s="93"/>
      <c r="C57" s="93"/>
      <c r="D57" s="94" t="str">
        <f t="shared" si="0"/>
        <v/>
      </c>
      <c r="E57" s="93"/>
      <c r="F57" s="93"/>
      <c r="G57" s="93"/>
      <c r="H57" s="93"/>
    </row>
    <row r="58" spans="1:8" ht="15">
      <c r="A58" s="93" t="str">
        <f ca="1">IFERROR(__xludf.DUMMYFUNCTION("""COMPUTED_VALUE"""),"Brito Broca")</f>
        <v>Brito Broca</v>
      </c>
      <c r="B58" s="93" t="str">
        <f ca="1">IFERROR(__xludf.DUMMYFUNCTION("""COMPUTED_VALUE"""),"Sandro Luiz Coelho")</f>
        <v>Sandro Luiz Coelho</v>
      </c>
      <c r="C58" s="93">
        <f ca="1">IFERROR(__xludf.DUMMYFUNCTION("""COMPUTED_VALUE"""),1)</f>
        <v>1</v>
      </c>
      <c r="D58" s="94" t="str">
        <f t="shared" ca="1" si="0"/>
        <v>Sandro Luiz Coelho</v>
      </c>
      <c r="E58" s="93"/>
      <c r="F58" s="93"/>
      <c r="G58" s="93"/>
      <c r="H58" s="93">
        <f ca="1">IFERROR(__xludf.DUMMYFUNCTION("""COMPUTED_VALUE"""),5)</f>
        <v>5</v>
      </c>
    </row>
    <row r="59" spans="1:8" ht="15">
      <c r="A59" s="93" t="str">
        <f ca="1">IFERROR(__xludf.DUMMYFUNCTION("""COMPUTED_VALUE"""),"Brito Broca")</f>
        <v>Brito Broca</v>
      </c>
      <c r="B59" s="93" t="str">
        <f ca="1">IFERROR(__xludf.DUMMYFUNCTION("""COMPUTED_VALUE"""),"Sueli Ferreira da Silva Pereira")</f>
        <v>Sueli Ferreira da Silva Pereira</v>
      </c>
      <c r="C59" s="93">
        <f ca="1">IFERROR(__xludf.DUMMYFUNCTION("""COMPUTED_VALUE"""),0)</f>
        <v>0</v>
      </c>
      <c r="D59" s="94" t="str">
        <f t="shared" ca="1" si="0"/>
        <v/>
      </c>
      <c r="E59" s="93"/>
      <c r="F59" s="93"/>
      <c r="G59" s="93"/>
      <c r="H59" s="93"/>
    </row>
    <row r="60" spans="1:8" ht="15">
      <c r="A60" s="93" t="str">
        <f ca="1">IFERROR(__xludf.DUMMYFUNCTION("""COMPUTED_VALUE"""),"Brito Broca")</f>
        <v>Brito Broca</v>
      </c>
      <c r="B60" s="93" t="str">
        <f ca="1">IFERROR(__xludf.DUMMYFUNCTION("""COMPUTED_VALUE"""),"Maria das Graças Costa Xavier")</f>
        <v>Maria das Graças Costa Xavier</v>
      </c>
      <c r="C60" s="93">
        <f ca="1">IFERROR(__xludf.DUMMYFUNCTION("""COMPUTED_VALUE"""),0)</f>
        <v>0</v>
      </c>
      <c r="D60" s="94" t="str">
        <f t="shared" ca="1" si="0"/>
        <v/>
      </c>
      <c r="E60" s="93"/>
      <c r="F60" s="93"/>
      <c r="G60" s="93"/>
      <c r="H60" s="93"/>
    </row>
    <row r="61" spans="1:8" ht="15">
      <c r="A61" s="93" t="str">
        <f ca="1">IFERROR(__xludf.DUMMYFUNCTION("""COMPUTED_VALUE"""),"Brito Broca")</f>
        <v>Brito Broca</v>
      </c>
      <c r="B61" s="93" t="str">
        <f ca="1">IFERROR(__xludf.DUMMYFUNCTION("""COMPUTED_VALUE"""),"Sonia da Cunha Martins ")</f>
        <v xml:space="preserve">Sonia da Cunha Martins </v>
      </c>
      <c r="C61" s="93">
        <f ca="1">IFERROR(__xludf.DUMMYFUNCTION("""COMPUTED_VALUE"""),0)</f>
        <v>0</v>
      </c>
      <c r="D61" s="94" t="str">
        <f t="shared" ca="1" si="0"/>
        <v/>
      </c>
      <c r="E61" s="93"/>
      <c r="F61" s="93"/>
      <c r="G61" s="93"/>
      <c r="H61" s="93"/>
    </row>
    <row r="62" spans="1:8" ht="15">
      <c r="A62" s="93" t="str">
        <f ca="1">IFERROR(__xludf.DUMMYFUNCTION("""COMPUTED_VALUE"""),"Brito Broca")</f>
        <v>Brito Broca</v>
      </c>
      <c r="B62" s="93" t="str">
        <f ca="1">IFERROR(__xludf.DUMMYFUNCTION("""COMPUTED_VALUE"""),"Paula Oliveira Vasconcelos")</f>
        <v>Paula Oliveira Vasconcelos</v>
      </c>
      <c r="C62" s="93">
        <f ca="1">IFERROR(__xludf.DUMMYFUNCTION("""COMPUTED_VALUE"""),0)</f>
        <v>0</v>
      </c>
      <c r="D62" s="94" t="str">
        <f t="shared" ca="1" si="0"/>
        <v/>
      </c>
      <c r="E62" s="93"/>
      <c r="F62" s="93"/>
      <c r="G62" s="93"/>
      <c r="H62" s="93"/>
    </row>
    <row r="63" spans="1:8" ht="15">
      <c r="A63" s="93"/>
      <c r="B63" s="93"/>
      <c r="C63" s="93"/>
      <c r="D63" s="94" t="str">
        <f t="shared" si="0"/>
        <v/>
      </c>
      <c r="E63" s="93"/>
      <c r="F63" s="93"/>
      <c r="G63" s="93"/>
      <c r="H63" s="93"/>
    </row>
    <row r="64" spans="1:8" ht="15">
      <c r="A64" s="93" t="str">
        <f ca="1">IFERROR(__xludf.DUMMYFUNCTION("""COMPUTED_VALUE"""),"Camila Cerqueira César")</f>
        <v>Camila Cerqueira César</v>
      </c>
      <c r="B64" s="93" t="str">
        <f ca="1">IFERROR(__xludf.DUMMYFUNCTION("""COMPUTED_VALUE"""),"Alessandra Atti")</f>
        <v>Alessandra Atti</v>
      </c>
      <c r="C64" s="93">
        <f ca="1">IFERROR(__xludf.DUMMYFUNCTION("""COMPUTED_VALUE"""),1)</f>
        <v>1</v>
      </c>
      <c r="D64" s="94" t="str">
        <f t="shared" ca="1" si="0"/>
        <v>Alessandra Atti</v>
      </c>
      <c r="E64" s="93"/>
      <c r="F64" s="93"/>
      <c r="G64" s="93"/>
      <c r="H64" s="93">
        <f ca="1">IFERROR(__xludf.DUMMYFUNCTION("""COMPUTED_VALUE"""),5)</f>
        <v>5</v>
      </c>
    </row>
    <row r="65" spans="1:8" ht="15">
      <c r="A65" s="93" t="str">
        <f ca="1">IFERROR(__xludf.DUMMYFUNCTION("""COMPUTED_VALUE"""),"Camila Cerqueira César")</f>
        <v>Camila Cerqueira César</v>
      </c>
      <c r="B65" s="93" t="str">
        <f ca="1">IFERROR(__xludf.DUMMYFUNCTION("""COMPUTED_VALUE"""),"José Aparecido Dias")</f>
        <v>José Aparecido Dias</v>
      </c>
      <c r="C65" s="93">
        <f ca="1">IFERROR(__xludf.DUMMYFUNCTION("""COMPUTED_VALUE"""),0)</f>
        <v>0</v>
      </c>
      <c r="D65" s="94" t="str">
        <f t="shared" ca="1" si="0"/>
        <v/>
      </c>
      <c r="E65" s="93"/>
      <c r="F65" s="93"/>
      <c r="G65" s="93"/>
      <c r="H65" s="93"/>
    </row>
    <row r="66" spans="1:8" ht="15">
      <c r="A66" s="93" t="str">
        <f ca="1">IFERROR(__xludf.DUMMYFUNCTION("""COMPUTED_VALUE"""),"Camila Cerqueira César")</f>
        <v>Camila Cerqueira César</v>
      </c>
      <c r="B66" s="93" t="str">
        <f ca="1">IFERROR(__xludf.DUMMYFUNCTION("""COMPUTED_VALUE"""),"Henriqueta Oliveira Marques ")</f>
        <v xml:space="preserve">Henriqueta Oliveira Marques </v>
      </c>
      <c r="C66" s="93">
        <f ca="1">IFERROR(__xludf.DUMMYFUNCTION("""COMPUTED_VALUE"""),0)</f>
        <v>0</v>
      </c>
      <c r="D66" s="94" t="str">
        <f t="shared" ca="1" si="0"/>
        <v/>
      </c>
      <c r="E66" s="93"/>
      <c r="F66" s="93"/>
      <c r="G66" s="93"/>
      <c r="H66" s="93"/>
    </row>
    <row r="67" spans="1:8" ht="15">
      <c r="A67" s="93" t="str">
        <f ca="1">IFERROR(__xludf.DUMMYFUNCTION("""COMPUTED_VALUE"""),"Camila Cerqueira César")</f>
        <v>Camila Cerqueira César</v>
      </c>
      <c r="B67" s="93" t="str">
        <f ca="1">IFERROR(__xludf.DUMMYFUNCTION("""COMPUTED_VALUE"""),"Erício Mendes de Lima")</f>
        <v>Erício Mendes de Lima</v>
      </c>
      <c r="C67" s="93">
        <f ca="1">IFERROR(__xludf.DUMMYFUNCTION("""COMPUTED_VALUE"""),0)</f>
        <v>0</v>
      </c>
      <c r="D67" s="94" t="str">
        <f t="shared" ca="1" si="0"/>
        <v/>
      </c>
      <c r="E67" s="93"/>
      <c r="F67" s="93"/>
      <c r="G67" s="93"/>
      <c r="H67" s="93"/>
    </row>
    <row r="68" spans="1:8" ht="15">
      <c r="A68" s="93" t="str">
        <f ca="1">IFERROR(__xludf.DUMMYFUNCTION("""COMPUTED_VALUE"""),"Camila Cerqueira César")</f>
        <v>Camila Cerqueira César</v>
      </c>
      <c r="B68" s="93" t="str">
        <f ca="1">IFERROR(__xludf.DUMMYFUNCTION("""COMPUTED_VALUE"""),"Claudio Rogério Basso Godoy")</f>
        <v>Claudio Rogério Basso Godoy</v>
      </c>
      <c r="C68" s="93">
        <f ca="1">IFERROR(__xludf.DUMMYFUNCTION("""COMPUTED_VALUE"""),0)</f>
        <v>0</v>
      </c>
      <c r="D68" s="94" t="str">
        <f t="shared" ca="1" si="0"/>
        <v/>
      </c>
      <c r="E68" s="93"/>
      <c r="F68" s="93"/>
      <c r="G68" s="93"/>
      <c r="H68" s="93"/>
    </row>
    <row r="69" spans="1:8" ht="15">
      <c r="A69" s="93"/>
      <c r="B69" s="93"/>
      <c r="C69" s="93"/>
      <c r="D69" s="94" t="str">
        <f t="shared" si="0"/>
        <v/>
      </c>
      <c r="E69" s="93"/>
      <c r="F69" s="93"/>
      <c r="G69" s="93"/>
      <c r="H69" s="93"/>
    </row>
    <row r="70" spans="1:8" ht="15">
      <c r="A70" s="93" t="str">
        <f ca="1">IFERROR(__xludf.DUMMYFUNCTION("""COMPUTED_VALUE"""),"Cassiano Ricardo")</f>
        <v>Cassiano Ricardo</v>
      </c>
      <c r="B70" s="93" t="str">
        <f ca="1">IFERROR(__xludf.DUMMYFUNCTION("""COMPUTED_VALUE"""),"Mary Grace Domingues dos Santos da Silva")</f>
        <v>Mary Grace Domingues dos Santos da Silva</v>
      </c>
      <c r="C70" s="93">
        <f ca="1">IFERROR(__xludf.DUMMYFUNCTION("""COMPUTED_VALUE"""),0)</f>
        <v>0</v>
      </c>
      <c r="D70" s="94" t="str">
        <f t="shared" ca="1" si="0"/>
        <v/>
      </c>
      <c r="E70" s="93"/>
      <c r="F70" s="93"/>
      <c r="G70" s="93"/>
      <c r="H70" s="93">
        <f ca="1">IFERROR(__xludf.DUMMYFUNCTION("""COMPUTED_VALUE"""),4)</f>
        <v>4</v>
      </c>
    </row>
    <row r="71" spans="1:8" ht="15">
      <c r="A71" s="93" t="str">
        <f ca="1">IFERROR(__xludf.DUMMYFUNCTION("""COMPUTED_VALUE"""),"Cassiano Ricardo")</f>
        <v>Cassiano Ricardo</v>
      </c>
      <c r="B71" s="93" t="str">
        <f ca="1">IFERROR(__xludf.DUMMYFUNCTION("""COMPUTED_VALUE"""),"Claudia Maria Moreira")</f>
        <v>Claudia Maria Moreira</v>
      </c>
      <c r="C71" s="93">
        <f ca="1">IFERROR(__xludf.DUMMYFUNCTION("""COMPUTED_VALUE"""),0)</f>
        <v>0</v>
      </c>
      <c r="D71" s="94" t="str">
        <f t="shared" ca="1" si="0"/>
        <v/>
      </c>
      <c r="E71" s="93"/>
      <c r="F71" s="93"/>
      <c r="G71" s="93"/>
      <c r="H71" s="93"/>
    </row>
    <row r="72" spans="1:8" ht="15">
      <c r="A72" s="93" t="str">
        <f ca="1">IFERROR(__xludf.DUMMYFUNCTION("""COMPUTED_VALUE"""),"Cassiano Ricardo")</f>
        <v>Cassiano Ricardo</v>
      </c>
      <c r="B72" s="93" t="str">
        <f ca="1">IFERROR(__xludf.DUMMYFUNCTION("""COMPUTED_VALUE"""),"Paloma da Silva Ferreira")</f>
        <v>Paloma da Silva Ferreira</v>
      </c>
      <c r="C72" s="93">
        <f ca="1">IFERROR(__xludf.DUMMYFUNCTION("""COMPUTED_VALUE"""),0)</f>
        <v>0</v>
      </c>
      <c r="D72" s="94" t="str">
        <f t="shared" ca="1" si="0"/>
        <v/>
      </c>
      <c r="E72" s="93"/>
      <c r="F72" s="93"/>
      <c r="G72" s="93"/>
      <c r="H72" s="93"/>
    </row>
    <row r="73" spans="1:8" ht="15">
      <c r="A73" s="93" t="str">
        <f ca="1">IFERROR(__xludf.DUMMYFUNCTION("""COMPUTED_VALUE"""),"Cassiano Ricardo")</f>
        <v>Cassiano Ricardo</v>
      </c>
      <c r="B73" s="93" t="str">
        <f ca="1">IFERROR(__xludf.DUMMYFUNCTION("""COMPUTED_VALUE"""),"Elisamara Nascimento Pastana")</f>
        <v>Elisamara Nascimento Pastana</v>
      </c>
      <c r="C73" s="93">
        <f ca="1">IFERROR(__xludf.DUMMYFUNCTION("""COMPUTED_VALUE"""),1)</f>
        <v>1</v>
      </c>
      <c r="D73" s="94" t="str">
        <f t="shared" ca="1" si="0"/>
        <v>Elisamara Nascimento Pastana</v>
      </c>
      <c r="E73" s="93"/>
      <c r="F73" s="93"/>
      <c r="G73" s="93"/>
      <c r="H73" s="93"/>
    </row>
    <row r="74" spans="1:8" ht="15">
      <c r="A74" s="93"/>
      <c r="B74" s="93"/>
      <c r="C74" s="93"/>
      <c r="D74" s="94" t="str">
        <f t="shared" si="0"/>
        <v/>
      </c>
      <c r="E74" s="93"/>
      <c r="F74" s="93"/>
      <c r="G74" s="93"/>
      <c r="H74" s="93"/>
    </row>
    <row r="75" spans="1:8" ht="15">
      <c r="A75" s="93" t="str">
        <f ca="1">IFERROR(__xludf.DUMMYFUNCTION("""COMPUTED_VALUE"""),"Castro Alves")</f>
        <v>Castro Alves</v>
      </c>
      <c r="B75" s="93" t="str">
        <f ca="1">IFERROR(__xludf.DUMMYFUNCTION("""COMPUTED_VALUE"""),"Edvaldo José Vieira")</f>
        <v>Edvaldo José Vieira</v>
      </c>
      <c r="C75" s="93"/>
      <c r="D75" s="94" t="str">
        <f t="shared" si="0"/>
        <v/>
      </c>
      <c r="E75" s="93"/>
      <c r="F75" s="93"/>
      <c r="G75" s="93"/>
      <c r="H75" s="93">
        <f ca="1">IFERROR(__xludf.DUMMYFUNCTION("""COMPUTED_VALUE"""),5)</f>
        <v>5</v>
      </c>
    </row>
    <row r="76" spans="1:8" ht="15">
      <c r="A76" s="93" t="str">
        <f ca="1">IFERROR(__xludf.DUMMYFUNCTION("""COMPUTED_VALUE"""),"Castro Alves")</f>
        <v>Castro Alves</v>
      </c>
      <c r="B76" s="93" t="str">
        <f ca="1">IFERROR(__xludf.DUMMYFUNCTION("""COMPUTED_VALUE"""),"Manoel Joaquim dos Santos")</f>
        <v>Manoel Joaquim dos Santos</v>
      </c>
      <c r="C76" s="93"/>
      <c r="D76" s="94" t="str">
        <f t="shared" si="0"/>
        <v/>
      </c>
      <c r="E76" s="93"/>
      <c r="F76" s="93"/>
      <c r="G76" s="93"/>
      <c r="H76" s="93"/>
    </row>
    <row r="77" spans="1:8" ht="15">
      <c r="A77" s="93" t="str">
        <f ca="1">IFERROR(__xludf.DUMMYFUNCTION("""COMPUTED_VALUE"""),"Castro Alves")</f>
        <v>Castro Alves</v>
      </c>
      <c r="B77" s="93" t="str">
        <f ca="1">IFERROR(__xludf.DUMMYFUNCTION("""COMPUTED_VALUE"""),"Camila Vieira Braido ")</f>
        <v xml:space="preserve">Camila Vieira Braido </v>
      </c>
      <c r="C77" s="93">
        <f ca="1">IFERROR(__xludf.DUMMYFUNCTION("""COMPUTED_VALUE"""),1)</f>
        <v>1</v>
      </c>
      <c r="D77" s="94" t="str">
        <f t="shared" ca="1" si="0"/>
        <v xml:space="preserve">Camila Vieira Braido </v>
      </c>
      <c r="E77" s="93"/>
      <c r="F77" s="93"/>
      <c r="G77" s="93"/>
      <c r="H77" s="93"/>
    </row>
    <row r="78" spans="1:8" ht="15">
      <c r="A78" s="93" t="str">
        <f ca="1">IFERROR(__xludf.DUMMYFUNCTION("""COMPUTED_VALUE"""),"Castro Alves")</f>
        <v>Castro Alves</v>
      </c>
      <c r="B78" s="93" t="str">
        <f ca="1">IFERROR(__xludf.DUMMYFUNCTION("""COMPUTED_VALUE"""),"Ariette Maria de Souza Moraes")</f>
        <v>Ariette Maria de Souza Moraes</v>
      </c>
      <c r="C78" s="93"/>
      <c r="D78" s="94" t="str">
        <f t="shared" si="0"/>
        <v/>
      </c>
      <c r="E78" s="93"/>
      <c r="F78" s="93"/>
      <c r="G78" s="93"/>
      <c r="H78" s="93"/>
    </row>
    <row r="79" spans="1:8" ht="15">
      <c r="A79" s="93" t="str">
        <f ca="1">IFERROR(__xludf.DUMMYFUNCTION("""COMPUTED_VALUE"""),"Castro Alves")</f>
        <v>Castro Alves</v>
      </c>
      <c r="B79" s="93" t="str">
        <f ca="1">IFERROR(__xludf.DUMMYFUNCTION("""COMPUTED_VALUE"""),"Rachel das Graças Almeida da Silva")</f>
        <v>Rachel das Graças Almeida da Silva</v>
      </c>
      <c r="C79" s="93"/>
      <c r="D79" s="94" t="str">
        <f t="shared" si="0"/>
        <v/>
      </c>
      <c r="E79" s="93"/>
      <c r="F79" s="93"/>
      <c r="G79" s="93"/>
      <c r="H79" s="93"/>
    </row>
    <row r="80" spans="1:8" ht="15">
      <c r="A80" s="93"/>
      <c r="B80" s="93"/>
      <c r="C80" s="93"/>
      <c r="D80" s="94" t="str">
        <f t="shared" si="0"/>
        <v/>
      </c>
      <c r="E80" s="93"/>
      <c r="F80" s="93"/>
      <c r="G80" s="93"/>
      <c r="H80" s="93"/>
    </row>
    <row r="81" spans="1:8" ht="15">
      <c r="A81" s="93" t="str">
        <f ca="1">IFERROR(__xludf.DUMMYFUNCTION("""COMPUTED_VALUE"""),"Chácara do Castelo")</f>
        <v>Chácara do Castelo</v>
      </c>
      <c r="B81" s="93" t="str">
        <f ca="1">IFERROR(__xludf.DUMMYFUNCTION("""COMPUTED_VALUE"""),"Benis Alexandre Rodrigues")</f>
        <v>Benis Alexandre Rodrigues</v>
      </c>
      <c r="C81" s="93">
        <f ca="1">IFERROR(__xludf.DUMMYFUNCTION("""COMPUTED_VALUE"""),0)</f>
        <v>0</v>
      </c>
      <c r="D81" s="94" t="str">
        <f t="shared" ca="1" si="0"/>
        <v/>
      </c>
      <c r="E81" s="93"/>
      <c r="F81" s="93"/>
      <c r="G81" s="93"/>
      <c r="H81" s="93">
        <f ca="1">IFERROR(__xludf.DUMMYFUNCTION("""COMPUTED_VALUE"""),3)</f>
        <v>3</v>
      </c>
    </row>
    <row r="82" spans="1:8" ht="15">
      <c r="A82" s="93" t="str">
        <f ca="1">IFERROR(__xludf.DUMMYFUNCTION("""COMPUTED_VALUE"""),"Chácara do Castelo")</f>
        <v>Chácara do Castelo</v>
      </c>
      <c r="B82" s="93" t="str">
        <f ca="1">IFERROR(__xludf.DUMMYFUNCTION("""COMPUTED_VALUE"""),"Juliana da Silva Santiago²")</f>
        <v>Juliana da Silva Santiago²</v>
      </c>
      <c r="C82" s="93">
        <f ca="1">IFERROR(__xludf.DUMMYFUNCTION("""COMPUTED_VALUE"""),1)</f>
        <v>1</v>
      </c>
      <c r="D82" s="94" t="str">
        <f t="shared" ca="1" si="0"/>
        <v>Juliana da Silva Santiago²</v>
      </c>
      <c r="E82" s="93"/>
      <c r="F82" s="93"/>
      <c r="G82" s="93"/>
      <c r="H82" s="93"/>
    </row>
    <row r="83" spans="1:8" ht="15">
      <c r="A83" s="93" t="str">
        <f ca="1">IFERROR(__xludf.DUMMYFUNCTION("""COMPUTED_VALUE"""),"Chácara do Castelo")</f>
        <v>Chácara do Castelo</v>
      </c>
      <c r="B83" s="93" t="str">
        <f ca="1">IFERROR(__xludf.DUMMYFUNCTION("""COMPUTED_VALUE"""),"Edelmi Geraldo Alves da Silva")</f>
        <v>Edelmi Geraldo Alves da Silva</v>
      </c>
      <c r="C83" s="93"/>
      <c r="D83" s="94" t="str">
        <f t="shared" si="0"/>
        <v/>
      </c>
      <c r="E83" s="93"/>
      <c r="F83" s="93"/>
      <c r="G83" s="93"/>
      <c r="H83" s="93"/>
    </row>
    <row r="84" spans="1:8" ht="15">
      <c r="A84" s="93"/>
      <c r="B84" s="93"/>
      <c r="C84" s="93"/>
      <c r="D84" s="94" t="str">
        <f t="shared" si="0"/>
        <v/>
      </c>
      <c r="E84" s="93"/>
      <c r="F84" s="93"/>
      <c r="G84" s="93"/>
      <c r="H84" s="93"/>
    </row>
    <row r="85" spans="1:8" ht="15">
      <c r="A85" s="93" t="str">
        <f ca="1">IFERROR(__xludf.DUMMYFUNCTION("""COMPUTED_VALUE"""),"Clarice Lispector")</f>
        <v>Clarice Lispector</v>
      </c>
      <c r="B85" s="93" t="str">
        <f ca="1">IFERROR(__xludf.DUMMYFUNCTION("""COMPUTED_VALUE"""),"Maria Carolina dos Santos Penna ")</f>
        <v xml:space="preserve">Maria Carolina dos Santos Penna </v>
      </c>
      <c r="C85" s="93"/>
      <c r="D85" s="94" t="str">
        <f t="shared" si="0"/>
        <v/>
      </c>
      <c r="E85" s="93"/>
      <c r="F85" s="93"/>
      <c r="G85" s="93"/>
      <c r="H85" s="93">
        <f ca="1">IFERROR(__xludf.DUMMYFUNCTION("""COMPUTED_VALUE"""),4)</f>
        <v>4</v>
      </c>
    </row>
    <row r="86" spans="1:8" ht="15">
      <c r="A86" s="93" t="str">
        <f ca="1">IFERROR(__xludf.DUMMYFUNCTION("""COMPUTED_VALUE"""),"Clarice Lispector")</f>
        <v>Clarice Lispector</v>
      </c>
      <c r="B86" s="93" t="str">
        <f ca="1">IFERROR(__xludf.DUMMYFUNCTION("""COMPUTED_VALUE"""),"Ilton Laurindo da Silva")</f>
        <v>Ilton Laurindo da Silva</v>
      </c>
      <c r="C86" s="93"/>
      <c r="D86" s="94" t="str">
        <f t="shared" si="0"/>
        <v/>
      </c>
      <c r="E86" s="93"/>
      <c r="F86" s="93"/>
      <c r="G86" s="93"/>
      <c r="H86" s="93"/>
    </row>
    <row r="87" spans="1:8" ht="15">
      <c r="A87" s="93" t="str">
        <f ca="1">IFERROR(__xludf.DUMMYFUNCTION("""COMPUTED_VALUE"""),"Clarice Lispector")</f>
        <v>Clarice Lispector</v>
      </c>
      <c r="B87" s="93" t="str">
        <f ca="1">IFERROR(__xludf.DUMMYFUNCTION("""COMPUTED_VALUE"""),"Juarez de Santana")</f>
        <v>Juarez de Santana</v>
      </c>
      <c r="C87" s="93"/>
      <c r="D87" s="94" t="str">
        <f t="shared" si="0"/>
        <v/>
      </c>
      <c r="E87" s="93"/>
      <c r="F87" s="93"/>
      <c r="G87" s="93"/>
      <c r="H87" s="93"/>
    </row>
    <row r="88" spans="1:8" ht="15">
      <c r="A88" s="93" t="str">
        <f ca="1">IFERROR(__xludf.DUMMYFUNCTION("""COMPUTED_VALUE"""),"Clarice Lispector")</f>
        <v>Clarice Lispector</v>
      </c>
      <c r="B88" s="93" t="str">
        <f ca="1">IFERROR(__xludf.DUMMYFUNCTION("""COMPUTED_VALUE"""),"Márcia de Oliveira Lopes")</f>
        <v>Márcia de Oliveira Lopes</v>
      </c>
      <c r="C88" s="93">
        <f ca="1">IFERROR(__xludf.DUMMYFUNCTION("""COMPUTED_VALUE"""),1)</f>
        <v>1</v>
      </c>
      <c r="D88" s="94" t="str">
        <f t="shared" ca="1" si="0"/>
        <v>Márcia de Oliveira Lopes</v>
      </c>
      <c r="E88" s="93"/>
      <c r="F88" s="93"/>
      <c r="G88" s="93"/>
      <c r="H88" s="93"/>
    </row>
    <row r="89" spans="1:8" ht="15">
      <c r="A89" s="93"/>
      <c r="B89" s="93"/>
      <c r="C89" s="93"/>
      <c r="D89" s="94" t="str">
        <f t="shared" si="0"/>
        <v/>
      </c>
      <c r="E89" s="93"/>
      <c r="F89" s="93"/>
      <c r="G89" s="93"/>
      <c r="H89" s="93"/>
    </row>
    <row r="90" spans="1:8" ht="15">
      <c r="A90" s="93" t="str">
        <f ca="1">IFERROR(__xludf.DUMMYFUNCTION("""COMPUTED_VALUE"""),"Cora Coralina")</f>
        <v>Cora Coralina</v>
      </c>
      <c r="B90" s="93" t="str">
        <f ca="1">IFERROR(__xludf.DUMMYFUNCTION("""COMPUTED_VALUE"""),"Maria Lucia Armond da Silva")</f>
        <v>Maria Lucia Armond da Silva</v>
      </c>
      <c r="C90" s="93">
        <f ca="1">IFERROR(__xludf.DUMMYFUNCTION("""COMPUTED_VALUE"""),0)</f>
        <v>0</v>
      </c>
      <c r="D90" s="94" t="str">
        <f t="shared" ca="1" si="0"/>
        <v/>
      </c>
      <c r="E90" s="93"/>
      <c r="F90" s="93"/>
      <c r="G90" s="93"/>
      <c r="H90" s="93">
        <f ca="1">IFERROR(__xludf.DUMMYFUNCTION("""COMPUTED_VALUE"""),4)</f>
        <v>4</v>
      </c>
    </row>
    <row r="91" spans="1:8" ht="15">
      <c r="A91" s="93" t="str">
        <f ca="1">IFERROR(__xludf.DUMMYFUNCTION("""COMPUTED_VALUE"""),"Cora Coralina")</f>
        <v>Cora Coralina</v>
      </c>
      <c r="B91" s="93" t="str">
        <f ca="1">IFERROR(__xludf.DUMMYFUNCTION("""COMPUTED_VALUE"""),"Adagilton Avila de Santana")</f>
        <v>Adagilton Avila de Santana</v>
      </c>
      <c r="C91" s="93">
        <f ca="1">IFERROR(__xludf.DUMMYFUNCTION("""COMPUTED_VALUE"""),0)</f>
        <v>0</v>
      </c>
      <c r="D91" s="94" t="str">
        <f t="shared" ca="1" si="0"/>
        <v/>
      </c>
      <c r="E91" s="93"/>
      <c r="F91" s="93"/>
      <c r="G91" s="93"/>
      <c r="H91" s="93"/>
    </row>
    <row r="92" spans="1:8" ht="15">
      <c r="A92" s="93" t="str">
        <f ca="1">IFERROR(__xludf.DUMMYFUNCTION("""COMPUTED_VALUE"""),"Cora Coralina")</f>
        <v>Cora Coralina</v>
      </c>
      <c r="B92" s="93" t="str">
        <f ca="1">IFERROR(__xludf.DUMMYFUNCTION("""COMPUTED_VALUE"""),"Maria Carolina de Souza Novaes")</f>
        <v>Maria Carolina de Souza Novaes</v>
      </c>
      <c r="C92" s="93">
        <f ca="1">IFERROR(__xludf.DUMMYFUNCTION("""COMPUTED_VALUE"""),1)</f>
        <v>1</v>
      </c>
      <c r="D92" s="94" t="str">
        <f t="shared" ca="1" si="0"/>
        <v>Maria Carolina de Souza Novaes</v>
      </c>
      <c r="E92" s="93"/>
      <c r="F92" s="93"/>
      <c r="G92" s="93"/>
      <c r="H92" s="93"/>
    </row>
    <row r="93" spans="1:8" ht="15">
      <c r="A93" s="93" t="str">
        <f ca="1">IFERROR(__xludf.DUMMYFUNCTION("""COMPUTED_VALUE"""),"Cora Coralina")</f>
        <v>Cora Coralina</v>
      </c>
      <c r="B93" s="93" t="str">
        <f ca="1">IFERROR(__xludf.DUMMYFUNCTION("""COMPUTED_VALUE"""),"Roseli Aparecida de Mello Avelar Costa")</f>
        <v>Roseli Aparecida de Mello Avelar Costa</v>
      </c>
      <c r="C93" s="93"/>
      <c r="D93" s="94" t="str">
        <f t="shared" si="0"/>
        <v/>
      </c>
      <c r="E93" s="93"/>
      <c r="F93" s="93"/>
      <c r="G93" s="93"/>
      <c r="H93" s="93"/>
    </row>
    <row r="94" spans="1:8" ht="15">
      <c r="A94" s="93"/>
      <c r="B94" s="93"/>
      <c r="C94" s="93"/>
      <c r="D94" s="94" t="str">
        <f t="shared" si="0"/>
        <v/>
      </c>
      <c r="E94" s="93"/>
      <c r="F94" s="93"/>
      <c r="G94" s="93"/>
      <c r="H94" s="93"/>
    </row>
    <row r="95" spans="1:8" ht="15">
      <c r="A95" s="93" t="str">
        <f ca="1">IFERROR(__xludf.DUMMYFUNCTION("""COMPUTED_VALUE"""),"Érico Veríssimo")</f>
        <v>Érico Veríssimo</v>
      </c>
      <c r="B95" s="93" t="str">
        <f ca="1">IFERROR(__xludf.DUMMYFUNCTION("""COMPUTED_VALUE"""),"José Augusto Secco")</f>
        <v>José Augusto Secco</v>
      </c>
      <c r="C95" s="93">
        <f ca="1">IFERROR(__xludf.DUMMYFUNCTION("""COMPUTED_VALUE"""),0)</f>
        <v>0</v>
      </c>
      <c r="D95" s="94" t="str">
        <f t="shared" ca="1" si="0"/>
        <v/>
      </c>
      <c r="E95" s="93"/>
      <c r="F95" s="93"/>
      <c r="G95" s="93"/>
      <c r="H95" s="93">
        <f ca="1">IFERROR(__xludf.DUMMYFUNCTION("""COMPUTED_VALUE"""),2)</f>
        <v>2</v>
      </c>
    </row>
    <row r="96" spans="1:8" ht="15">
      <c r="A96" s="93" t="str">
        <f ca="1">IFERROR(__xludf.DUMMYFUNCTION("""COMPUTED_VALUE"""),"Érico Veríssimo")</f>
        <v>Érico Veríssimo</v>
      </c>
      <c r="B96" s="93" t="str">
        <f ca="1">IFERROR(__xludf.DUMMYFUNCTION("""COMPUTED_VALUE"""),"Denize Alves da Silva")</f>
        <v>Denize Alves da Silva</v>
      </c>
      <c r="C96" s="93">
        <f ca="1">IFERROR(__xludf.DUMMYFUNCTION("""COMPUTED_VALUE"""),1)</f>
        <v>1</v>
      </c>
      <c r="D96" s="94" t="str">
        <f t="shared" ca="1" si="0"/>
        <v>Denize Alves da Silva</v>
      </c>
      <c r="E96" s="93"/>
      <c r="F96" s="93"/>
      <c r="G96" s="93"/>
      <c r="H96" s="93"/>
    </row>
    <row r="97" spans="1:8" ht="15">
      <c r="A97" s="93"/>
      <c r="B97" s="93"/>
      <c r="C97" s="93"/>
      <c r="D97" s="94" t="str">
        <f t="shared" si="0"/>
        <v/>
      </c>
      <c r="E97" s="93"/>
      <c r="F97" s="93"/>
      <c r="G97" s="93"/>
      <c r="H97" s="93"/>
    </row>
    <row r="98" spans="1:8" ht="15">
      <c r="A98" s="93" t="str">
        <f ca="1">IFERROR(__xludf.DUMMYFUNCTION("""COMPUTED_VALUE"""),"Gilberto Freyre")</f>
        <v>Gilberto Freyre</v>
      </c>
      <c r="B98" s="93" t="str">
        <f ca="1">IFERROR(__xludf.DUMMYFUNCTION("""COMPUTED_VALUE"""),"Sueli Lopes")</f>
        <v>Sueli Lopes</v>
      </c>
      <c r="C98" s="93">
        <f ca="1">IFERROR(__xludf.DUMMYFUNCTION("""COMPUTED_VALUE"""),0)</f>
        <v>0</v>
      </c>
      <c r="D98" s="94" t="str">
        <f t="shared" ca="1" si="0"/>
        <v/>
      </c>
      <c r="E98" s="93"/>
      <c r="F98" s="93"/>
      <c r="G98" s="93"/>
      <c r="H98" s="93">
        <f ca="1">IFERROR(__xludf.DUMMYFUNCTION("""COMPUTED_VALUE"""),3)</f>
        <v>3</v>
      </c>
    </row>
    <row r="99" spans="1:8" ht="15">
      <c r="A99" s="93" t="str">
        <f ca="1">IFERROR(__xludf.DUMMYFUNCTION("""COMPUTED_VALUE"""),"Gilberto Freyre")</f>
        <v>Gilberto Freyre</v>
      </c>
      <c r="B99" s="93" t="str">
        <f ca="1">IFERROR(__xludf.DUMMYFUNCTION("""COMPUTED_VALUE"""),"Ronaldo Alves")</f>
        <v>Ronaldo Alves</v>
      </c>
      <c r="C99" s="93"/>
      <c r="D99" s="94" t="str">
        <f t="shared" si="0"/>
        <v/>
      </c>
      <c r="E99" s="93"/>
      <c r="F99" s="93"/>
      <c r="G99" s="93"/>
      <c r="H99" s="93"/>
    </row>
    <row r="100" spans="1:8" ht="15">
      <c r="A100" s="93" t="str">
        <f ca="1">IFERROR(__xludf.DUMMYFUNCTION("""COMPUTED_VALUE"""),"Gilberto Freyre")</f>
        <v>Gilberto Freyre</v>
      </c>
      <c r="B100" s="93" t="str">
        <f ca="1">IFERROR(__xludf.DUMMYFUNCTION("""COMPUTED_VALUE"""),"Raquel da Silva Vianna de Andrade ")</f>
        <v xml:space="preserve">Raquel da Silva Vianna de Andrade </v>
      </c>
      <c r="C100" s="93">
        <f ca="1">IFERROR(__xludf.DUMMYFUNCTION("""COMPUTED_VALUE"""),1)</f>
        <v>1</v>
      </c>
      <c r="D100" s="94" t="str">
        <f t="shared" ca="1" si="0"/>
        <v xml:space="preserve">Raquel da Silva Vianna de Andrade </v>
      </c>
      <c r="E100" s="93"/>
      <c r="F100" s="93"/>
      <c r="G100" s="93"/>
      <c r="H100" s="93"/>
    </row>
    <row r="101" spans="1:8" ht="15">
      <c r="A101" s="93"/>
      <c r="B101" s="93"/>
      <c r="C101" s="93"/>
      <c r="D101" s="94" t="str">
        <f t="shared" si="0"/>
        <v/>
      </c>
      <c r="E101" s="93"/>
      <c r="F101" s="93"/>
      <c r="G101" s="93"/>
      <c r="H101" s="93"/>
    </row>
    <row r="102" spans="1:8" ht="15">
      <c r="A102" s="93" t="str">
        <f ca="1">IFERROR(__xludf.DUMMYFUNCTION("""COMPUTED_VALUE"""),"Hans Christian Andersen")</f>
        <v>Hans Christian Andersen</v>
      </c>
      <c r="B102" s="93" t="str">
        <f ca="1">IFERROR(__xludf.DUMMYFUNCTION("""COMPUTED_VALUE"""),"Neusa Prado Lima")</f>
        <v>Neusa Prado Lima</v>
      </c>
      <c r="C102" s="93"/>
      <c r="D102" s="94" t="str">
        <f t="shared" si="0"/>
        <v/>
      </c>
      <c r="E102" s="93"/>
      <c r="F102" s="93"/>
      <c r="G102" s="93"/>
      <c r="H102" s="93">
        <f ca="1">IFERROR(__xludf.DUMMYFUNCTION("""COMPUTED_VALUE"""),6)</f>
        <v>6</v>
      </c>
    </row>
    <row r="103" spans="1:8" ht="15">
      <c r="A103" s="93" t="str">
        <f ca="1">IFERROR(__xludf.DUMMYFUNCTION("""COMPUTED_VALUE"""),"Hans Christian Andersen")</f>
        <v>Hans Christian Andersen</v>
      </c>
      <c r="B103" s="93" t="str">
        <f ca="1">IFERROR(__xludf.DUMMYFUNCTION("""COMPUTED_VALUE"""),"Cícero Pedro de Assis")</f>
        <v>Cícero Pedro de Assis</v>
      </c>
      <c r="C103" s="93"/>
      <c r="D103" s="94" t="str">
        <f t="shared" si="0"/>
        <v/>
      </c>
      <c r="E103" s="93"/>
      <c r="F103" s="93"/>
      <c r="G103" s="93"/>
      <c r="H103" s="93"/>
    </row>
    <row r="104" spans="1:8" ht="15">
      <c r="A104" s="93" t="str">
        <f ca="1">IFERROR(__xludf.DUMMYFUNCTION("""COMPUTED_VALUE"""),"Hans Christian Andersen")</f>
        <v>Hans Christian Andersen</v>
      </c>
      <c r="B104" s="93" t="str">
        <f ca="1">IFERROR(__xludf.DUMMYFUNCTION("""COMPUTED_VALUE"""),"Ivania Marla Garcia Brugnoli")</f>
        <v>Ivania Marla Garcia Brugnoli</v>
      </c>
      <c r="C104" s="93"/>
      <c r="D104" s="94" t="str">
        <f t="shared" si="0"/>
        <v/>
      </c>
      <c r="E104" s="93"/>
      <c r="F104" s="93"/>
      <c r="G104" s="93"/>
      <c r="H104" s="93"/>
    </row>
    <row r="105" spans="1:8" ht="15">
      <c r="A105" s="93" t="str">
        <f ca="1">IFERROR(__xludf.DUMMYFUNCTION("""COMPUTED_VALUE"""),"Hans Christian Andersen")</f>
        <v>Hans Christian Andersen</v>
      </c>
      <c r="B105" s="93" t="str">
        <f ca="1">IFERROR(__xludf.DUMMYFUNCTION("""COMPUTED_VALUE"""),"Gerusa Camargo Guimarães")</f>
        <v>Gerusa Camargo Guimarães</v>
      </c>
      <c r="C105" s="93"/>
      <c r="D105" s="94" t="str">
        <f t="shared" si="0"/>
        <v/>
      </c>
      <c r="E105" s="93"/>
      <c r="F105" s="93"/>
      <c r="G105" s="93"/>
      <c r="H105" s="93"/>
    </row>
    <row r="106" spans="1:8" ht="15">
      <c r="A106" s="93" t="str">
        <f ca="1">IFERROR(__xludf.DUMMYFUNCTION("""COMPUTED_VALUE"""),"Hans Christian Andersen")</f>
        <v>Hans Christian Andersen</v>
      </c>
      <c r="B106" s="93" t="str">
        <f ca="1">IFERROR(__xludf.DUMMYFUNCTION("""COMPUTED_VALUE"""),"Maria Lúcia Nunes")</f>
        <v>Maria Lúcia Nunes</v>
      </c>
      <c r="C106" s="93"/>
      <c r="D106" s="94" t="str">
        <f t="shared" si="0"/>
        <v/>
      </c>
      <c r="E106" s="93"/>
      <c r="F106" s="93"/>
      <c r="G106" s="93"/>
      <c r="H106" s="93"/>
    </row>
    <row r="107" spans="1:8" ht="15">
      <c r="A107" s="93" t="str">
        <f ca="1">IFERROR(__xludf.DUMMYFUNCTION("""COMPUTED_VALUE"""),"Hans Christian Andersen")</f>
        <v>Hans Christian Andersen</v>
      </c>
      <c r="B107" s="93" t="str">
        <f ca="1">IFERROR(__xludf.DUMMYFUNCTION("""COMPUTED_VALUE"""),"Elisangela Alves Silva")</f>
        <v>Elisangela Alves Silva</v>
      </c>
      <c r="C107" s="93">
        <f ca="1">IFERROR(__xludf.DUMMYFUNCTION("""COMPUTED_VALUE"""),1)</f>
        <v>1</v>
      </c>
      <c r="D107" s="94" t="str">
        <f t="shared" ca="1" si="0"/>
        <v>Elisangela Alves Silva</v>
      </c>
      <c r="E107" s="93"/>
      <c r="F107" s="93"/>
      <c r="G107" s="93"/>
      <c r="H107" s="93"/>
    </row>
    <row r="108" spans="1:8" ht="15">
      <c r="A108" s="93"/>
      <c r="B108" s="93"/>
      <c r="C108" s="93"/>
      <c r="D108" s="94" t="str">
        <f t="shared" si="0"/>
        <v/>
      </c>
      <c r="E108" s="93"/>
      <c r="F108" s="93"/>
      <c r="G108" s="93"/>
      <c r="H108" s="93"/>
    </row>
    <row r="109" spans="1:8" ht="15">
      <c r="A109" s="93" t="str">
        <f ca="1">IFERROR(__xludf.DUMMYFUNCTION("""COMPUTED_VALUE"""),"Helena Silveira")</f>
        <v>Helena Silveira</v>
      </c>
      <c r="B109" s="93" t="str">
        <f ca="1">IFERROR(__xludf.DUMMYFUNCTION("""COMPUTED_VALUE"""),"Rui Rocha Meira")</f>
        <v>Rui Rocha Meira</v>
      </c>
      <c r="C109" s="93">
        <f ca="1">IFERROR(__xludf.DUMMYFUNCTION("""COMPUTED_VALUE"""),0)</f>
        <v>0</v>
      </c>
      <c r="D109" s="94" t="str">
        <f t="shared" ca="1" si="0"/>
        <v/>
      </c>
      <c r="E109" s="93"/>
      <c r="F109" s="93"/>
      <c r="G109" s="93"/>
      <c r="H109" s="93">
        <f ca="1">IFERROR(__xludf.DUMMYFUNCTION("""COMPUTED_VALUE"""),4)</f>
        <v>4</v>
      </c>
    </row>
    <row r="110" spans="1:8" ht="15">
      <c r="A110" s="93" t="str">
        <f ca="1">IFERROR(__xludf.DUMMYFUNCTION("""COMPUTED_VALUE"""),"Helena Silveira")</f>
        <v>Helena Silveira</v>
      </c>
      <c r="B110" s="93" t="str">
        <f ca="1">IFERROR(__xludf.DUMMYFUNCTION("""COMPUTED_VALUE"""),"Paula Danielle de Andrade Bueno")</f>
        <v>Paula Danielle de Andrade Bueno</v>
      </c>
      <c r="C110" s="93">
        <f ca="1">IFERROR(__xludf.DUMMYFUNCTION("""COMPUTED_VALUE"""),1)</f>
        <v>1</v>
      </c>
      <c r="D110" s="94" t="str">
        <f t="shared" ca="1" si="0"/>
        <v>Paula Danielle de Andrade Bueno</v>
      </c>
      <c r="E110" s="93"/>
      <c r="F110" s="93"/>
      <c r="G110" s="93"/>
      <c r="H110" s="93"/>
    </row>
    <row r="111" spans="1:8" ht="15">
      <c r="A111" s="93" t="str">
        <f ca="1">IFERROR(__xludf.DUMMYFUNCTION("""COMPUTED_VALUE"""),"Helena Silveira")</f>
        <v>Helena Silveira</v>
      </c>
      <c r="B111" s="93" t="str">
        <f ca="1">IFERROR(__xludf.DUMMYFUNCTION("""COMPUTED_VALUE"""),"José Roberto Tomaz da Silva")</f>
        <v>José Roberto Tomaz da Silva</v>
      </c>
      <c r="C111" s="93"/>
      <c r="D111" s="94" t="str">
        <f t="shared" si="0"/>
        <v/>
      </c>
      <c r="E111" s="93"/>
      <c r="F111" s="93"/>
      <c r="G111" s="93"/>
      <c r="H111" s="93"/>
    </row>
    <row r="112" spans="1:8" ht="15">
      <c r="A112" s="93" t="str">
        <f ca="1">IFERROR(__xludf.DUMMYFUNCTION("""COMPUTED_VALUE"""),"Helena Silveira")</f>
        <v>Helena Silveira</v>
      </c>
      <c r="B112" s="93" t="str">
        <f ca="1">IFERROR(__xludf.DUMMYFUNCTION("""COMPUTED_VALUE"""),"Wanda Aparecida Borges Cavalcanti")</f>
        <v>Wanda Aparecida Borges Cavalcanti</v>
      </c>
      <c r="C112" s="93"/>
      <c r="D112" s="94" t="str">
        <f t="shared" si="0"/>
        <v/>
      </c>
      <c r="E112" s="93"/>
      <c r="F112" s="93"/>
      <c r="G112" s="93"/>
      <c r="H112" s="93"/>
    </row>
    <row r="113" spans="1:8" ht="15">
      <c r="A113" s="93"/>
      <c r="B113" s="93"/>
      <c r="C113" s="93"/>
      <c r="D113" s="94" t="str">
        <f t="shared" si="0"/>
        <v/>
      </c>
      <c r="E113" s="93"/>
      <c r="F113" s="93"/>
      <c r="G113" s="93"/>
      <c r="H113" s="93"/>
    </row>
    <row r="114" spans="1:8" ht="15">
      <c r="A114" s="93" t="str">
        <f ca="1">IFERROR(__xludf.DUMMYFUNCTION("""COMPUTED_VALUE"""),"Jamil Almansur Haddad")</f>
        <v>Jamil Almansur Haddad</v>
      </c>
      <c r="B114" s="93" t="str">
        <f ca="1">IFERROR(__xludf.DUMMYFUNCTION("""COMPUTED_VALUE"""),"Sonia dos Santos Alves")</f>
        <v>Sonia dos Santos Alves</v>
      </c>
      <c r="C114" s="93">
        <f ca="1">IFERROR(__xludf.DUMMYFUNCTION("""COMPUTED_VALUE"""),0)</f>
        <v>0</v>
      </c>
      <c r="D114" s="94" t="str">
        <f t="shared" ca="1" si="0"/>
        <v/>
      </c>
      <c r="E114" s="93"/>
      <c r="F114" s="93"/>
      <c r="G114" s="93"/>
      <c r="H114" s="93">
        <f ca="1">IFERROR(__xludf.DUMMYFUNCTION("""COMPUTED_VALUE"""),4)</f>
        <v>4</v>
      </c>
    </row>
    <row r="115" spans="1:8" ht="15">
      <c r="A115" s="93" t="str">
        <f ca="1">IFERROR(__xludf.DUMMYFUNCTION("""COMPUTED_VALUE"""),"Jamil Almansur Haddad")</f>
        <v>Jamil Almansur Haddad</v>
      </c>
      <c r="B115" s="93" t="str">
        <f ca="1">IFERROR(__xludf.DUMMYFUNCTION("""COMPUTED_VALUE"""),"Benedita Valdirene Ribeiro")</f>
        <v>Benedita Valdirene Ribeiro</v>
      </c>
      <c r="C115" s="93">
        <f ca="1">IFERROR(__xludf.DUMMYFUNCTION("""COMPUTED_VALUE"""),1)</f>
        <v>1</v>
      </c>
      <c r="D115" s="94" t="str">
        <f t="shared" ca="1" si="0"/>
        <v>Benedita Valdirene Ribeiro</v>
      </c>
      <c r="E115" s="93"/>
      <c r="F115" s="93"/>
      <c r="G115" s="93"/>
      <c r="H115" s="93"/>
    </row>
    <row r="116" spans="1:8" ht="15">
      <c r="A116" s="93" t="str">
        <f ca="1">IFERROR(__xludf.DUMMYFUNCTION("""COMPUTED_VALUE"""),"Jamil Almansur Haddad")</f>
        <v>Jamil Almansur Haddad</v>
      </c>
      <c r="B116" s="93" t="str">
        <f ca="1">IFERROR(__xludf.DUMMYFUNCTION("""COMPUTED_VALUE"""),"Silvania Roseli Possato Medeiros")</f>
        <v>Silvania Roseli Possato Medeiros</v>
      </c>
      <c r="C116" s="93"/>
      <c r="D116" s="94" t="str">
        <f t="shared" si="0"/>
        <v/>
      </c>
      <c r="E116" s="93"/>
      <c r="F116" s="93"/>
      <c r="G116" s="93"/>
      <c r="H116" s="93"/>
    </row>
    <row r="117" spans="1:8" ht="15">
      <c r="A117" s="93" t="str">
        <f ca="1">IFERROR(__xludf.DUMMYFUNCTION("""COMPUTED_VALUE"""),"Jamil Almansur Haddad")</f>
        <v>Jamil Almansur Haddad</v>
      </c>
      <c r="B117" s="93" t="str">
        <f ca="1">IFERROR(__xludf.DUMMYFUNCTION("""COMPUTED_VALUE"""),"Antonio Martins Santana")</f>
        <v>Antonio Martins Santana</v>
      </c>
      <c r="C117" s="93">
        <f ca="1">IFERROR(__xludf.DUMMYFUNCTION("""COMPUTED_VALUE"""),0)</f>
        <v>0</v>
      </c>
      <c r="D117" s="94" t="str">
        <f t="shared" ca="1" si="0"/>
        <v/>
      </c>
      <c r="E117" s="93"/>
      <c r="F117" s="93"/>
      <c r="G117" s="93"/>
      <c r="H117" s="93"/>
    </row>
    <row r="118" spans="1:8" ht="15">
      <c r="A118" s="93"/>
      <c r="B118" s="93"/>
      <c r="C118" s="93"/>
      <c r="D118" s="94" t="str">
        <f t="shared" si="0"/>
        <v/>
      </c>
      <c r="E118" s="93"/>
      <c r="F118" s="93"/>
      <c r="G118" s="93"/>
      <c r="H118" s="93"/>
    </row>
    <row r="119" spans="1:8" ht="15">
      <c r="A119" s="93" t="str">
        <f ca="1">IFERROR(__xludf.DUMMYFUNCTION("""COMPUTED_VALUE"""),"Jayme Cortez")</f>
        <v>Jayme Cortez</v>
      </c>
      <c r="B119" s="93" t="str">
        <f ca="1">IFERROR(__xludf.DUMMYFUNCTION("""COMPUTED_VALUE"""),"Luciana Santoni")</f>
        <v>Luciana Santoni</v>
      </c>
      <c r="C119" s="93">
        <f ca="1">IFERROR(__xludf.DUMMYFUNCTION("""COMPUTED_VALUE"""),1)</f>
        <v>1</v>
      </c>
      <c r="D119" s="94" t="str">
        <f t="shared" ca="1" si="0"/>
        <v>Luciana Santoni</v>
      </c>
      <c r="E119" s="93"/>
      <c r="F119" s="93"/>
      <c r="G119" s="93"/>
      <c r="H119" s="93">
        <f ca="1">IFERROR(__xludf.DUMMYFUNCTION("""COMPUTED_VALUE"""),2)</f>
        <v>2</v>
      </c>
    </row>
    <row r="120" spans="1:8" ht="15">
      <c r="A120" s="93" t="str">
        <f ca="1">IFERROR(__xludf.DUMMYFUNCTION("""COMPUTED_VALUE"""),"Jayme Cortez")</f>
        <v>Jayme Cortez</v>
      </c>
      <c r="B120" s="93" t="str">
        <f ca="1">IFERROR(__xludf.DUMMYFUNCTION("""COMPUTED_VALUE"""),"Rafael Eduardo Rodrigo da Silva")</f>
        <v>Rafael Eduardo Rodrigo da Silva</v>
      </c>
      <c r="C120" s="93">
        <f ca="1">IFERROR(__xludf.DUMMYFUNCTION("""COMPUTED_VALUE"""),0)</f>
        <v>0</v>
      </c>
      <c r="D120" s="94" t="str">
        <f t="shared" ca="1" si="0"/>
        <v/>
      </c>
      <c r="E120" s="93"/>
      <c r="F120" s="93"/>
      <c r="G120" s="93"/>
      <c r="H120" s="93"/>
    </row>
    <row r="121" spans="1:8" ht="15">
      <c r="A121" s="93"/>
      <c r="B121" s="93"/>
      <c r="C121" s="93"/>
      <c r="D121" s="94" t="str">
        <f t="shared" si="0"/>
        <v/>
      </c>
      <c r="E121" s="93"/>
      <c r="F121" s="93"/>
      <c r="G121" s="93"/>
      <c r="H121" s="93"/>
    </row>
    <row r="122" spans="1:8" ht="15">
      <c r="A122" s="93" t="str">
        <f ca="1">IFERROR(__xludf.DUMMYFUNCTION("""COMPUTED_VALUE"""),"José Mauro de Vasconcelos")</f>
        <v>José Mauro de Vasconcelos</v>
      </c>
      <c r="B122" s="93" t="str">
        <f ca="1">IFERROR(__xludf.DUMMYFUNCTION("""COMPUTED_VALUE"""),"Sandra Cristina Brasil Silva")</f>
        <v>Sandra Cristina Brasil Silva</v>
      </c>
      <c r="C122" s="93">
        <f ca="1">IFERROR(__xludf.DUMMYFUNCTION("""COMPUTED_VALUE"""),1)</f>
        <v>1</v>
      </c>
      <c r="D122" s="94" t="str">
        <f t="shared" ca="1" si="0"/>
        <v>Sandra Cristina Brasil Silva</v>
      </c>
      <c r="E122" s="93"/>
      <c r="F122" s="93"/>
      <c r="G122" s="93"/>
      <c r="H122" s="93">
        <f ca="1">IFERROR(__xludf.DUMMYFUNCTION("""COMPUTED_VALUE"""),5)</f>
        <v>5</v>
      </c>
    </row>
    <row r="123" spans="1:8" ht="15">
      <c r="A123" s="93" t="str">
        <f ca="1">IFERROR(__xludf.DUMMYFUNCTION("""COMPUTED_VALUE"""),"José Mauro de Vasconcelos")</f>
        <v>José Mauro de Vasconcelos</v>
      </c>
      <c r="B123" s="93" t="str">
        <f ca="1">IFERROR(__xludf.DUMMYFUNCTION("""COMPUTED_VALUE"""),"Luci Costa Neco")</f>
        <v>Luci Costa Neco</v>
      </c>
      <c r="C123" s="93">
        <f ca="1">IFERROR(__xludf.DUMMYFUNCTION("""COMPUTED_VALUE"""),0)</f>
        <v>0</v>
      </c>
      <c r="D123" s="94" t="str">
        <f t="shared" ca="1" si="0"/>
        <v/>
      </c>
      <c r="E123" s="93"/>
      <c r="F123" s="93"/>
      <c r="G123" s="93"/>
      <c r="H123" s="93"/>
    </row>
    <row r="124" spans="1:8" ht="15">
      <c r="A124" s="93" t="str">
        <f ca="1">IFERROR(__xludf.DUMMYFUNCTION("""COMPUTED_VALUE"""),"José Mauro de Vasconcelos")</f>
        <v>José Mauro de Vasconcelos</v>
      </c>
      <c r="B124" s="93" t="str">
        <f ca="1">IFERROR(__xludf.DUMMYFUNCTION("""COMPUTED_VALUE"""),"Sandra Cristina Francisco dos Santos")</f>
        <v>Sandra Cristina Francisco dos Santos</v>
      </c>
      <c r="C124" s="93">
        <f ca="1">IFERROR(__xludf.DUMMYFUNCTION("""COMPUTED_VALUE"""),0)</f>
        <v>0</v>
      </c>
      <c r="D124" s="94" t="str">
        <f t="shared" ca="1" si="0"/>
        <v/>
      </c>
      <c r="E124" s="93"/>
      <c r="F124" s="93"/>
      <c r="G124" s="93"/>
      <c r="H124" s="93"/>
    </row>
    <row r="125" spans="1:8" ht="15">
      <c r="A125" s="93" t="str">
        <f ca="1">IFERROR(__xludf.DUMMYFUNCTION("""COMPUTED_VALUE"""),"José Mauro de Vasconcelos")</f>
        <v>José Mauro de Vasconcelos</v>
      </c>
      <c r="B125" s="93" t="str">
        <f ca="1">IFERROR(__xludf.DUMMYFUNCTION("""COMPUTED_VALUE"""),"Rosangela Alves")</f>
        <v>Rosangela Alves</v>
      </c>
      <c r="C125" s="93"/>
      <c r="D125" s="94" t="str">
        <f t="shared" si="0"/>
        <v/>
      </c>
      <c r="E125" s="93"/>
      <c r="F125" s="93"/>
      <c r="G125" s="93"/>
      <c r="H125" s="93"/>
    </row>
    <row r="126" spans="1:8" ht="15">
      <c r="A126" s="93" t="str">
        <f ca="1">IFERROR(__xludf.DUMMYFUNCTION("""COMPUTED_VALUE"""),"José Mauro de Vasconcelos")</f>
        <v>José Mauro de Vasconcelos</v>
      </c>
      <c r="B126" s="93" t="str">
        <f ca="1">IFERROR(__xludf.DUMMYFUNCTION("""COMPUTED_VALUE"""),"Evaldo da Silva Gomes")</f>
        <v>Evaldo da Silva Gomes</v>
      </c>
      <c r="C126" s="93"/>
      <c r="D126" s="94" t="str">
        <f t="shared" si="0"/>
        <v/>
      </c>
      <c r="E126" s="93"/>
      <c r="F126" s="93"/>
      <c r="G126" s="93"/>
      <c r="H126" s="93"/>
    </row>
    <row r="127" spans="1:8" ht="15">
      <c r="A127" s="93"/>
      <c r="B127" s="93"/>
      <c r="C127" s="93"/>
      <c r="D127" s="94" t="str">
        <f t="shared" si="0"/>
        <v/>
      </c>
      <c r="E127" s="93"/>
      <c r="F127" s="93"/>
      <c r="G127" s="93"/>
      <c r="H127" s="93"/>
    </row>
    <row r="128" spans="1:8" ht="15">
      <c r="A128" s="93" t="str">
        <f ca="1">IFERROR(__xludf.DUMMYFUNCTION("""COMPUTED_VALUE"""),"José Paulo Paes")</f>
        <v>José Paulo Paes</v>
      </c>
      <c r="B128" s="93" t="str">
        <f ca="1">IFERROR(__xludf.DUMMYFUNCTION("""COMPUTED_VALUE"""),"Lídia Zilnay Dourado Gomes")</f>
        <v>Lídia Zilnay Dourado Gomes</v>
      </c>
      <c r="C128" s="93"/>
      <c r="D128" s="94" t="str">
        <f t="shared" si="0"/>
        <v/>
      </c>
      <c r="E128" s="93"/>
      <c r="F128" s="93"/>
      <c r="G128" s="93"/>
      <c r="H128" s="93">
        <f ca="1">IFERROR(__xludf.DUMMYFUNCTION("""COMPUTED_VALUE"""),5)</f>
        <v>5</v>
      </c>
    </row>
    <row r="129" spans="1:8" ht="15">
      <c r="A129" s="93" t="str">
        <f ca="1">IFERROR(__xludf.DUMMYFUNCTION("""COMPUTED_VALUE"""),"José Paulo Paes")</f>
        <v>José Paulo Paes</v>
      </c>
      <c r="B129" s="93" t="str">
        <f ca="1">IFERROR(__xludf.DUMMYFUNCTION("""COMPUTED_VALUE"""),"Luciana Silva de Campos")</f>
        <v>Luciana Silva de Campos</v>
      </c>
      <c r="C129" s="93"/>
      <c r="D129" s="94" t="str">
        <f t="shared" si="0"/>
        <v/>
      </c>
      <c r="E129" s="93"/>
      <c r="F129" s="93"/>
      <c r="G129" s="93"/>
      <c r="H129" s="93"/>
    </row>
    <row r="130" spans="1:8" ht="15">
      <c r="A130" s="93" t="str">
        <f ca="1">IFERROR(__xludf.DUMMYFUNCTION("""COMPUTED_VALUE"""),"José Paulo Paes")</f>
        <v>José Paulo Paes</v>
      </c>
      <c r="B130" s="93" t="str">
        <f ca="1">IFERROR(__xludf.DUMMYFUNCTION("""COMPUTED_VALUE"""),"João Gilberto Franco Cândido Monteiro")</f>
        <v>João Gilberto Franco Cândido Monteiro</v>
      </c>
      <c r="C130" s="93">
        <f ca="1">IFERROR(__xludf.DUMMYFUNCTION("""COMPUTED_VALUE"""),1)</f>
        <v>1</v>
      </c>
      <c r="D130" s="94" t="str">
        <f t="shared" ca="1" si="0"/>
        <v>João Gilberto Franco Cândido Monteiro</v>
      </c>
      <c r="E130" s="93"/>
      <c r="F130" s="93"/>
      <c r="G130" s="93"/>
      <c r="H130" s="93"/>
    </row>
    <row r="131" spans="1:8" ht="15">
      <c r="A131" s="93" t="str">
        <f ca="1">IFERROR(__xludf.DUMMYFUNCTION("""COMPUTED_VALUE"""),"José Paulo Paes")</f>
        <v>José Paulo Paes</v>
      </c>
      <c r="B131" s="93" t="str">
        <f ca="1">IFERROR(__xludf.DUMMYFUNCTION("""COMPUTED_VALUE"""),"Joelmo de Sá Silva")</f>
        <v>Joelmo de Sá Silva</v>
      </c>
      <c r="C131" s="93"/>
      <c r="D131" s="94" t="str">
        <f t="shared" si="0"/>
        <v/>
      </c>
      <c r="E131" s="93"/>
      <c r="F131" s="93"/>
      <c r="G131" s="93"/>
      <c r="H131" s="93"/>
    </row>
    <row r="132" spans="1:8" ht="15">
      <c r="A132" s="93" t="str">
        <f ca="1">IFERROR(__xludf.DUMMYFUNCTION("""COMPUTED_VALUE"""),"José Paulo Paes")</f>
        <v>José Paulo Paes</v>
      </c>
      <c r="B132" s="93" t="str">
        <f ca="1">IFERROR(__xludf.DUMMYFUNCTION("""COMPUTED_VALUE"""),"Albertina Florentino de Souza")</f>
        <v>Albertina Florentino de Souza</v>
      </c>
      <c r="C132" s="93">
        <f ca="1">IFERROR(__xludf.DUMMYFUNCTION("""COMPUTED_VALUE"""),0)</f>
        <v>0</v>
      </c>
      <c r="D132" s="94" t="str">
        <f t="shared" ca="1" si="0"/>
        <v/>
      </c>
      <c r="E132" s="93"/>
      <c r="F132" s="93"/>
      <c r="G132" s="93"/>
      <c r="H132" s="93"/>
    </row>
    <row r="133" spans="1:8" ht="15">
      <c r="A133" s="93"/>
      <c r="B133" s="93"/>
      <c r="C133" s="93"/>
      <c r="D133" s="94" t="str">
        <f t="shared" si="0"/>
        <v/>
      </c>
      <c r="E133" s="93"/>
      <c r="F133" s="93"/>
      <c r="G133" s="93"/>
      <c r="H133" s="93"/>
    </row>
    <row r="134" spans="1:8" ht="15">
      <c r="A134" s="93" t="str">
        <f ca="1">IFERROR(__xludf.DUMMYFUNCTION("""COMPUTED_VALUE"""),"Jovina Rocha Alvares Pessoa")</f>
        <v>Jovina Rocha Alvares Pessoa</v>
      </c>
      <c r="B134" s="93" t="str">
        <f ca="1">IFERROR(__xludf.DUMMYFUNCTION("""COMPUTED_VALUE"""),"Maria Leolina dos Santos Menezes")</f>
        <v>Maria Leolina dos Santos Menezes</v>
      </c>
      <c r="C134" s="93"/>
      <c r="D134" s="94" t="str">
        <f t="shared" si="0"/>
        <v/>
      </c>
      <c r="E134" s="93"/>
      <c r="F134" s="93"/>
      <c r="G134" s="93"/>
      <c r="H134" s="93">
        <f ca="1">IFERROR(__xludf.DUMMYFUNCTION("""COMPUTED_VALUE"""),6)</f>
        <v>6</v>
      </c>
    </row>
    <row r="135" spans="1:8" ht="15">
      <c r="A135" s="93" t="str">
        <f ca="1">IFERROR(__xludf.DUMMYFUNCTION("""COMPUTED_VALUE"""),"Jovina Rocha Alvares Pessoa")</f>
        <v>Jovina Rocha Alvares Pessoa</v>
      </c>
      <c r="B135" s="93" t="str">
        <f ca="1">IFERROR(__xludf.DUMMYFUNCTION("""COMPUTED_VALUE"""),"Jussara Oda")</f>
        <v>Jussara Oda</v>
      </c>
      <c r="C135" s="93">
        <f ca="1">IFERROR(__xludf.DUMMYFUNCTION("""COMPUTED_VALUE"""),1)</f>
        <v>1</v>
      </c>
      <c r="D135" s="94" t="str">
        <f t="shared" ca="1" si="0"/>
        <v>Jussara Oda</v>
      </c>
      <c r="E135" s="93"/>
      <c r="F135" s="93"/>
      <c r="G135" s="93"/>
      <c r="H135" s="93"/>
    </row>
    <row r="136" spans="1:8" ht="15">
      <c r="A136" s="93" t="str">
        <f ca="1">IFERROR(__xludf.DUMMYFUNCTION("""COMPUTED_VALUE"""),"Jovina Rocha Alvares Pessoa")</f>
        <v>Jovina Rocha Alvares Pessoa</v>
      </c>
      <c r="B136" s="93" t="str">
        <f ca="1">IFERROR(__xludf.DUMMYFUNCTION("""COMPUTED_VALUE"""),"Roseli Michellão")</f>
        <v>Roseli Michellão</v>
      </c>
      <c r="C136" s="93"/>
      <c r="D136" s="94" t="str">
        <f t="shared" si="0"/>
        <v/>
      </c>
      <c r="E136" s="93"/>
      <c r="F136" s="93"/>
      <c r="G136" s="93"/>
      <c r="H136" s="93"/>
    </row>
    <row r="137" spans="1:8" ht="15">
      <c r="A137" s="93" t="str">
        <f ca="1">IFERROR(__xludf.DUMMYFUNCTION("""COMPUTED_VALUE"""),"Jovina Rocha Alvares Pessoa")</f>
        <v>Jovina Rocha Alvares Pessoa</v>
      </c>
      <c r="B137" s="93" t="str">
        <f ca="1">IFERROR(__xludf.DUMMYFUNCTION("""COMPUTED_VALUE"""),"Gilberto de Almeida")</f>
        <v>Gilberto de Almeida</v>
      </c>
      <c r="C137" s="93"/>
      <c r="D137" s="94" t="str">
        <f t="shared" si="0"/>
        <v/>
      </c>
      <c r="E137" s="93"/>
      <c r="F137" s="93"/>
      <c r="G137" s="93"/>
      <c r="H137" s="93"/>
    </row>
    <row r="138" spans="1:8" ht="15">
      <c r="A138" s="93" t="str">
        <f ca="1">IFERROR(__xludf.DUMMYFUNCTION("""COMPUTED_VALUE"""),"Jovina Rocha Alvares Pessoa")</f>
        <v>Jovina Rocha Alvares Pessoa</v>
      </c>
      <c r="B138" s="93" t="str">
        <f ca="1">IFERROR(__xludf.DUMMYFUNCTION("""COMPUTED_VALUE"""),"Paulo Sergio Serafim da Silva")</f>
        <v>Paulo Sergio Serafim da Silva</v>
      </c>
      <c r="C138" s="93">
        <f ca="1">IFERROR(__xludf.DUMMYFUNCTION("""COMPUTED_VALUE"""),0)</f>
        <v>0</v>
      </c>
      <c r="D138" s="94" t="str">
        <f t="shared" ca="1" si="0"/>
        <v/>
      </c>
      <c r="E138" s="93"/>
      <c r="F138" s="93"/>
      <c r="G138" s="93"/>
      <c r="H138" s="93"/>
    </row>
    <row r="139" spans="1:8" ht="15">
      <c r="A139" s="93" t="str">
        <f ca="1">IFERROR(__xludf.DUMMYFUNCTION("""COMPUTED_VALUE"""),"Jovina Rocha Alvares Pessoa")</f>
        <v>Jovina Rocha Alvares Pessoa</v>
      </c>
      <c r="B139" s="93" t="str">
        <f ca="1">IFERROR(__xludf.DUMMYFUNCTION("""COMPUTED_VALUE"""),"Etuene Wanderlei de Melo Cabral")</f>
        <v>Etuene Wanderlei de Melo Cabral</v>
      </c>
      <c r="C139" s="93"/>
      <c r="D139" s="94" t="str">
        <f t="shared" si="0"/>
        <v/>
      </c>
      <c r="E139" s="93"/>
      <c r="F139" s="93"/>
      <c r="G139" s="93"/>
      <c r="H139" s="93"/>
    </row>
    <row r="140" spans="1:8" ht="15">
      <c r="A140" s="93"/>
      <c r="B140" s="93"/>
      <c r="C140" s="93"/>
      <c r="D140" s="94" t="str">
        <f t="shared" si="0"/>
        <v/>
      </c>
      <c r="E140" s="93"/>
      <c r="F140" s="93"/>
      <c r="G140" s="93"/>
      <c r="H140" s="93"/>
    </row>
    <row r="141" spans="1:8" ht="15">
      <c r="A141" s="93" t="str">
        <f ca="1">IFERROR(__xludf.DUMMYFUNCTION("""COMPUTED_VALUE"""),"Lenyra Fraccaroli")</f>
        <v>Lenyra Fraccaroli</v>
      </c>
      <c r="B141" s="93" t="str">
        <f ca="1">IFERROR(__xludf.DUMMYFUNCTION("""COMPUTED_VALUE"""),"Waldir Ordanini de Oliveira")</f>
        <v>Waldir Ordanini de Oliveira</v>
      </c>
      <c r="C141" s="93">
        <f ca="1">IFERROR(__xludf.DUMMYFUNCTION("""COMPUTED_VALUE"""),0)</f>
        <v>0</v>
      </c>
      <c r="D141" s="94" t="str">
        <f t="shared" ca="1" si="0"/>
        <v/>
      </c>
      <c r="E141" s="93"/>
      <c r="F141" s="93"/>
      <c r="G141" s="93"/>
      <c r="H141" s="93">
        <f ca="1">IFERROR(__xludf.DUMMYFUNCTION("""COMPUTED_VALUE"""),6)</f>
        <v>6</v>
      </c>
    </row>
    <row r="142" spans="1:8" ht="15">
      <c r="A142" s="93" t="str">
        <f ca="1">IFERROR(__xludf.DUMMYFUNCTION("""COMPUTED_VALUE"""),"Lenyra Fraccaroli")</f>
        <v>Lenyra Fraccaroli</v>
      </c>
      <c r="B142" s="93" t="str">
        <f ca="1">IFERROR(__xludf.DUMMYFUNCTION("""COMPUTED_VALUE"""),"Cleo da Silva Lima ")</f>
        <v xml:space="preserve">Cleo da Silva Lima </v>
      </c>
      <c r="C142" s="93">
        <f ca="1">IFERROR(__xludf.DUMMYFUNCTION("""COMPUTED_VALUE"""),1)</f>
        <v>1</v>
      </c>
      <c r="D142" s="94" t="str">
        <f t="shared" ca="1" si="0"/>
        <v xml:space="preserve">Cleo da Silva Lima </v>
      </c>
      <c r="E142" s="93"/>
      <c r="F142" s="93"/>
      <c r="G142" s="93"/>
      <c r="H142" s="93"/>
    </row>
    <row r="143" spans="1:8" ht="15">
      <c r="A143" s="93" t="str">
        <f ca="1">IFERROR(__xludf.DUMMYFUNCTION("""COMPUTED_VALUE"""),"Lenyra Fraccaroli")</f>
        <v>Lenyra Fraccaroli</v>
      </c>
      <c r="B143" s="93" t="str">
        <f ca="1">IFERROR(__xludf.DUMMYFUNCTION("""COMPUTED_VALUE"""),"Ademir Pereira de Lima")</f>
        <v>Ademir Pereira de Lima</v>
      </c>
      <c r="C143" s="93"/>
      <c r="D143" s="94" t="str">
        <f t="shared" si="0"/>
        <v/>
      </c>
      <c r="E143" s="93"/>
      <c r="F143" s="93"/>
      <c r="G143" s="93"/>
      <c r="H143" s="93"/>
    </row>
    <row r="144" spans="1:8" ht="15">
      <c r="A144" s="93" t="str">
        <f ca="1">IFERROR(__xludf.DUMMYFUNCTION("""COMPUTED_VALUE"""),"Lenyra Fraccaroli")</f>
        <v>Lenyra Fraccaroli</v>
      </c>
      <c r="B144" s="93" t="str">
        <f ca="1">IFERROR(__xludf.DUMMYFUNCTION("""COMPUTED_VALUE"""),"Francisco de Assis Oliveira")</f>
        <v>Francisco de Assis Oliveira</v>
      </c>
      <c r="C144" s="93"/>
      <c r="D144" s="94" t="str">
        <f t="shared" si="0"/>
        <v/>
      </c>
      <c r="E144" s="93"/>
      <c r="F144" s="93"/>
      <c r="G144" s="93"/>
      <c r="H144" s="93"/>
    </row>
    <row r="145" spans="1:8" ht="15">
      <c r="A145" s="93" t="str">
        <f ca="1">IFERROR(__xludf.DUMMYFUNCTION("""COMPUTED_VALUE"""),"Lenyra Fraccaroli")</f>
        <v>Lenyra Fraccaroli</v>
      </c>
      <c r="B145" s="93" t="str">
        <f ca="1">IFERROR(__xludf.DUMMYFUNCTION("""COMPUTED_VALUE"""),"Marli Rosa Moreira")</f>
        <v>Marli Rosa Moreira</v>
      </c>
      <c r="C145" s="93"/>
      <c r="D145" s="94" t="str">
        <f t="shared" si="0"/>
        <v/>
      </c>
      <c r="E145" s="93"/>
      <c r="F145" s="93"/>
      <c r="G145" s="93"/>
      <c r="H145" s="93"/>
    </row>
    <row r="146" spans="1:8" ht="15">
      <c r="A146" s="93" t="str">
        <f ca="1">IFERROR(__xludf.DUMMYFUNCTION("""COMPUTED_VALUE"""),"Lenyra Fraccaroli")</f>
        <v>Lenyra Fraccaroli</v>
      </c>
      <c r="B146" s="93" t="str">
        <f ca="1">IFERROR(__xludf.DUMMYFUNCTION("""COMPUTED_VALUE"""),"Marisa Sugako Miyashiro")</f>
        <v>Marisa Sugako Miyashiro</v>
      </c>
      <c r="C146" s="93"/>
      <c r="D146" s="94" t="str">
        <f t="shared" si="0"/>
        <v/>
      </c>
      <c r="E146" s="93"/>
      <c r="F146" s="93"/>
      <c r="G146" s="93"/>
      <c r="H146" s="93"/>
    </row>
    <row r="147" spans="1:8" ht="15">
      <c r="A147" s="93"/>
      <c r="B147" s="93"/>
      <c r="C147" s="93"/>
      <c r="D147" s="94" t="str">
        <f t="shared" si="0"/>
        <v/>
      </c>
      <c r="E147" s="93"/>
      <c r="F147" s="93"/>
      <c r="G147" s="93"/>
      <c r="H147" s="93"/>
    </row>
    <row r="148" spans="1:8" ht="15">
      <c r="A148" s="93" t="str">
        <f ca="1">IFERROR(__xludf.DUMMYFUNCTION("""COMPUTED_VALUE"""),"Malba Tahan")</f>
        <v>Malba Tahan</v>
      </c>
      <c r="B148" s="93" t="str">
        <f ca="1">IFERROR(__xludf.DUMMYFUNCTION("""COMPUTED_VALUE"""),"Noêmia Rocumback Duarte")</f>
        <v>Noêmia Rocumback Duarte</v>
      </c>
      <c r="C148" s="93"/>
      <c r="D148" s="94" t="str">
        <f t="shared" si="0"/>
        <v/>
      </c>
      <c r="E148" s="93"/>
      <c r="F148" s="93"/>
      <c r="G148" s="93"/>
      <c r="H148" s="93">
        <f ca="1">IFERROR(__xludf.DUMMYFUNCTION("""COMPUTED_VALUE"""),5)</f>
        <v>5</v>
      </c>
    </row>
    <row r="149" spans="1:8" ht="15">
      <c r="A149" s="93" t="str">
        <f ca="1">IFERROR(__xludf.DUMMYFUNCTION("""COMPUTED_VALUE"""),"Malba Tahan")</f>
        <v>Malba Tahan</v>
      </c>
      <c r="B149" s="93" t="str">
        <f ca="1">IFERROR(__xludf.DUMMYFUNCTION("""COMPUTED_VALUE"""),"Sergio Luiz Andrade")</f>
        <v>Sergio Luiz Andrade</v>
      </c>
      <c r="C149" s="93">
        <f ca="1">IFERROR(__xludf.DUMMYFUNCTION("""COMPUTED_VALUE"""),0)</f>
        <v>0</v>
      </c>
      <c r="D149" s="94" t="str">
        <f t="shared" ca="1" si="0"/>
        <v/>
      </c>
      <c r="E149" s="93"/>
      <c r="F149" s="93"/>
      <c r="G149" s="93"/>
      <c r="H149" s="93"/>
    </row>
    <row r="150" spans="1:8" ht="15">
      <c r="A150" s="93" t="str">
        <f ca="1">IFERROR(__xludf.DUMMYFUNCTION("""COMPUTED_VALUE"""),"Malba Tahan")</f>
        <v>Malba Tahan</v>
      </c>
      <c r="B150" s="93" t="str">
        <f ca="1">IFERROR(__xludf.DUMMYFUNCTION("""COMPUTED_VALUE"""),"Vicentino Ferreira de Souza")</f>
        <v>Vicentino Ferreira de Souza</v>
      </c>
      <c r="C150" s="93"/>
      <c r="D150" s="94" t="str">
        <f t="shared" si="0"/>
        <v/>
      </c>
      <c r="E150" s="93"/>
      <c r="F150" s="93"/>
      <c r="G150" s="93"/>
      <c r="H150" s="93"/>
    </row>
    <row r="151" spans="1:8" ht="15">
      <c r="A151" s="93" t="str">
        <f ca="1">IFERROR(__xludf.DUMMYFUNCTION("""COMPUTED_VALUE"""),"Malba Tahan")</f>
        <v>Malba Tahan</v>
      </c>
      <c r="B151" s="93" t="str">
        <f ca="1">IFERROR(__xludf.DUMMYFUNCTION("""COMPUTED_VALUE"""),"Antônio Agustinho de Alencar")</f>
        <v>Antônio Agustinho de Alencar</v>
      </c>
      <c r="C151" s="93">
        <f ca="1">IFERROR(__xludf.DUMMYFUNCTION("""COMPUTED_VALUE"""),0)</f>
        <v>0</v>
      </c>
      <c r="D151" s="94" t="str">
        <f t="shared" ca="1" si="0"/>
        <v/>
      </c>
      <c r="E151" s="93"/>
      <c r="F151" s="93"/>
      <c r="G151" s="93"/>
      <c r="H151" s="93"/>
    </row>
    <row r="152" spans="1:8" ht="15">
      <c r="A152" s="93" t="str">
        <f ca="1">IFERROR(__xludf.DUMMYFUNCTION("""COMPUTED_VALUE"""),"Malba Tahan")</f>
        <v>Malba Tahan</v>
      </c>
      <c r="B152" s="93" t="str">
        <f ca="1">IFERROR(__xludf.DUMMYFUNCTION("""COMPUTED_VALUE"""),"Andréa Santos Regis ")</f>
        <v xml:space="preserve">Andréa Santos Regis </v>
      </c>
      <c r="C152" s="93">
        <f ca="1">IFERROR(__xludf.DUMMYFUNCTION("""COMPUTED_VALUE"""),1)</f>
        <v>1</v>
      </c>
      <c r="D152" s="94" t="str">
        <f t="shared" ca="1" si="0"/>
        <v xml:space="preserve">Andréa Santos Regis </v>
      </c>
      <c r="E152" s="93"/>
      <c r="F152" s="93"/>
      <c r="G152" s="93"/>
      <c r="H152" s="93"/>
    </row>
    <row r="153" spans="1:8" ht="15">
      <c r="A153" s="93"/>
      <c r="B153" s="93"/>
      <c r="C153" s="93"/>
      <c r="D153" s="94" t="str">
        <f t="shared" si="0"/>
        <v/>
      </c>
      <c r="E153" s="93"/>
      <c r="F153" s="93"/>
      <c r="G153" s="93"/>
      <c r="H153" s="93"/>
    </row>
    <row r="154" spans="1:8" ht="15">
      <c r="A154" s="93" t="str">
        <f ca="1">IFERROR(__xludf.DUMMYFUNCTION("""COMPUTED_VALUE"""),"Marcos Rey")</f>
        <v>Marcos Rey</v>
      </c>
      <c r="B154" s="93" t="str">
        <f ca="1">IFERROR(__xludf.DUMMYFUNCTION("""COMPUTED_VALUE"""),"Marli Fumi Haseyama Goto")</f>
        <v>Marli Fumi Haseyama Goto</v>
      </c>
      <c r="C154" s="93">
        <f ca="1">IFERROR(__xludf.DUMMYFUNCTION("""COMPUTED_VALUE"""),1)</f>
        <v>1</v>
      </c>
      <c r="D154" s="94" t="str">
        <f t="shared" ca="1" si="0"/>
        <v>Marli Fumi Haseyama Goto</v>
      </c>
      <c r="E154" s="93"/>
      <c r="F154" s="93"/>
      <c r="G154" s="93"/>
      <c r="H154" s="93">
        <f ca="1">IFERROR(__xludf.DUMMYFUNCTION("""COMPUTED_VALUE"""),4)</f>
        <v>4</v>
      </c>
    </row>
    <row r="155" spans="1:8" ht="15">
      <c r="A155" s="93" t="str">
        <f ca="1">IFERROR(__xludf.DUMMYFUNCTION("""COMPUTED_VALUE"""),"Marcos Rey")</f>
        <v>Marcos Rey</v>
      </c>
      <c r="B155" s="93" t="str">
        <f ca="1">IFERROR(__xludf.DUMMYFUNCTION("""COMPUTED_VALUE"""),"José Alves de Oliveira Neto")</f>
        <v>José Alves de Oliveira Neto</v>
      </c>
      <c r="C155" s="93"/>
      <c r="D155" s="94" t="str">
        <f t="shared" si="0"/>
        <v/>
      </c>
      <c r="E155" s="93"/>
      <c r="F155" s="93"/>
      <c r="G155" s="93"/>
      <c r="H155" s="93"/>
    </row>
    <row r="156" spans="1:8" ht="15">
      <c r="A156" s="93" t="str">
        <f ca="1">IFERROR(__xludf.DUMMYFUNCTION("""COMPUTED_VALUE"""),"Marcos Rey")</f>
        <v>Marcos Rey</v>
      </c>
      <c r="B156" s="93" t="str">
        <f ca="1">IFERROR(__xludf.DUMMYFUNCTION("""COMPUTED_VALUE"""),"Edilene Alves Paes do Amaral Camargo")</f>
        <v>Edilene Alves Paes do Amaral Camargo</v>
      </c>
      <c r="C156" s="93"/>
      <c r="D156" s="94" t="str">
        <f t="shared" si="0"/>
        <v/>
      </c>
      <c r="E156" s="93"/>
      <c r="F156" s="93"/>
      <c r="G156" s="93"/>
      <c r="H156" s="93"/>
    </row>
    <row r="157" spans="1:8" ht="15">
      <c r="A157" s="93" t="str">
        <f ca="1">IFERROR(__xludf.DUMMYFUNCTION("""COMPUTED_VALUE"""),"Marcos Rey")</f>
        <v>Marcos Rey</v>
      </c>
      <c r="B157" s="93" t="str">
        <f ca="1">IFERROR(__xludf.DUMMYFUNCTION("""COMPUTED_VALUE"""),"José Fideles da Costa")</f>
        <v>José Fideles da Costa</v>
      </c>
      <c r="C157" s="93"/>
      <c r="D157" s="94" t="str">
        <f t="shared" si="0"/>
        <v/>
      </c>
      <c r="E157" s="93"/>
      <c r="F157" s="93"/>
      <c r="G157" s="93"/>
      <c r="H157" s="93"/>
    </row>
    <row r="158" spans="1:8" ht="15">
      <c r="A158" s="93"/>
      <c r="B158" s="93"/>
      <c r="C158" s="93"/>
      <c r="D158" s="94" t="str">
        <f t="shared" si="0"/>
        <v/>
      </c>
      <c r="E158" s="93"/>
      <c r="F158" s="93"/>
      <c r="G158" s="93"/>
      <c r="H158" s="93"/>
    </row>
    <row r="159" spans="1:8" ht="15">
      <c r="A159" s="93" t="str">
        <f ca="1">IFERROR(__xludf.DUMMYFUNCTION("""COMPUTED_VALUE"""),"Mário Schenberg")</f>
        <v>Mário Schenberg</v>
      </c>
      <c r="B159" s="93" t="str">
        <f ca="1">IFERROR(__xludf.DUMMYFUNCTION("""COMPUTED_VALUE"""),"Sérgio Tadeu Guimarães dos Santos")</f>
        <v>Sérgio Tadeu Guimarães dos Santos</v>
      </c>
      <c r="C159" s="93">
        <f ca="1">IFERROR(__xludf.DUMMYFUNCTION("""COMPUTED_VALUE"""),0)</f>
        <v>0</v>
      </c>
      <c r="D159" s="94" t="str">
        <f t="shared" ca="1" si="0"/>
        <v/>
      </c>
      <c r="E159" s="93"/>
      <c r="F159" s="93"/>
      <c r="G159" s="93"/>
      <c r="H159" s="93">
        <f ca="1">IFERROR(__xludf.DUMMYFUNCTION("""COMPUTED_VALUE"""),4)</f>
        <v>4</v>
      </c>
    </row>
    <row r="160" spans="1:8" ht="15">
      <c r="A160" s="93" t="str">
        <f ca="1">IFERROR(__xludf.DUMMYFUNCTION("""COMPUTED_VALUE"""),"Mário Schenberg")</f>
        <v>Mário Schenberg</v>
      </c>
      <c r="B160" s="93" t="str">
        <f ca="1">IFERROR(__xludf.DUMMYFUNCTION("""COMPUTED_VALUE"""),"Marilena Evangelista Cunha")</f>
        <v>Marilena Evangelista Cunha</v>
      </c>
      <c r="C160" s="93">
        <f ca="1">IFERROR(__xludf.DUMMYFUNCTION("""COMPUTED_VALUE"""),0)</f>
        <v>0</v>
      </c>
      <c r="D160" s="94" t="str">
        <f t="shared" ca="1" si="0"/>
        <v/>
      </c>
      <c r="E160" s="93"/>
      <c r="F160" s="93"/>
      <c r="G160" s="93"/>
      <c r="H160" s="93"/>
    </row>
    <row r="161" spans="1:8" ht="15">
      <c r="A161" s="93" t="str">
        <f ca="1">IFERROR(__xludf.DUMMYFUNCTION("""COMPUTED_VALUE"""),"Mário Schenberg")</f>
        <v>Mário Schenberg</v>
      </c>
      <c r="B161" s="93" t="str">
        <f ca="1">IFERROR(__xludf.DUMMYFUNCTION("""COMPUTED_VALUE"""),"Caio Palma Fernandes")</f>
        <v>Caio Palma Fernandes</v>
      </c>
      <c r="C161" s="93"/>
      <c r="D161" s="94" t="str">
        <f t="shared" si="0"/>
        <v/>
      </c>
      <c r="E161" s="93"/>
      <c r="F161" s="93"/>
      <c r="G161" s="93"/>
      <c r="H161" s="93"/>
    </row>
    <row r="162" spans="1:8" ht="15">
      <c r="A162" s="93" t="str">
        <f ca="1">IFERROR(__xludf.DUMMYFUNCTION("""COMPUTED_VALUE"""),"Mário Schenberg")</f>
        <v>Mário Schenberg</v>
      </c>
      <c r="B162" s="93" t="str">
        <f ca="1">IFERROR(__xludf.DUMMYFUNCTION("""COMPUTED_VALUE"""),"Sueli Ribeiro da Silva")</f>
        <v>Sueli Ribeiro da Silva</v>
      </c>
      <c r="C162" s="93">
        <f ca="1">IFERROR(__xludf.DUMMYFUNCTION("""COMPUTED_VALUE"""),1)</f>
        <v>1</v>
      </c>
      <c r="D162" s="94" t="str">
        <f t="shared" ca="1" si="0"/>
        <v>Sueli Ribeiro da Silva</v>
      </c>
      <c r="E162" s="93"/>
      <c r="F162" s="93"/>
      <c r="G162" s="93"/>
      <c r="H162" s="93"/>
    </row>
    <row r="163" spans="1:8" ht="15">
      <c r="A163" s="93"/>
      <c r="B163" s="93"/>
      <c r="C163" s="93"/>
      <c r="D163" s="94" t="str">
        <f t="shared" si="0"/>
        <v/>
      </c>
      <c r="E163" s="93"/>
      <c r="F163" s="93"/>
      <c r="G163" s="93"/>
      <c r="H163" s="93"/>
    </row>
    <row r="164" spans="1:8" ht="15">
      <c r="A164" s="93" t="str">
        <f ca="1">IFERROR(__xludf.DUMMYFUNCTION("""COMPUTED_VALUE"""),"Menotti Del Picchia")</f>
        <v>Menotti Del Picchia</v>
      </c>
      <c r="B164" s="93" t="str">
        <f ca="1">IFERROR(__xludf.DUMMYFUNCTION("""COMPUTED_VALUE"""),"Melina Isabel Campanini")</f>
        <v>Melina Isabel Campanini</v>
      </c>
      <c r="C164" s="93">
        <f ca="1">IFERROR(__xludf.DUMMYFUNCTION("""COMPUTED_VALUE"""),1)</f>
        <v>1</v>
      </c>
      <c r="D164" s="94" t="str">
        <f t="shared" ca="1" si="0"/>
        <v>Melina Isabel Campanini</v>
      </c>
      <c r="E164" s="93"/>
      <c r="F164" s="93"/>
      <c r="G164" s="93"/>
      <c r="H164" s="93">
        <f ca="1">IFERROR(__xludf.DUMMYFUNCTION("""COMPUTED_VALUE"""),6)</f>
        <v>6</v>
      </c>
    </row>
    <row r="165" spans="1:8" ht="15">
      <c r="A165" s="93" t="str">
        <f ca="1">IFERROR(__xludf.DUMMYFUNCTION("""COMPUTED_VALUE"""),"Menotti Del Picchia")</f>
        <v>Menotti Del Picchia</v>
      </c>
      <c r="B165" s="93" t="str">
        <f ca="1">IFERROR(__xludf.DUMMYFUNCTION("""COMPUTED_VALUE"""),"Marcos Magalhães Pelegrini")</f>
        <v>Marcos Magalhães Pelegrini</v>
      </c>
      <c r="C165" s="93">
        <f ca="1">IFERROR(__xludf.DUMMYFUNCTION("""COMPUTED_VALUE"""),0)</f>
        <v>0</v>
      </c>
      <c r="D165" s="94" t="str">
        <f t="shared" ca="1" si="0"/>
        <v/>
      </c>
      <c r="E165" s="93"/>
      <c r="F165" s="93"/>
      <c r="G165" s="93"/>
      <c r="H165" s="93"/>
    </row>
    <row r="166" spans="1:8" ht="15">
      <c r="A166" s="93" t="str">
        <f ca="1">IFERROR(__xludf.DUMMYFUNCTION("""COMPUTED_VALUE"""),"Menotti Del Picchia")</f>
        <v>Menotti Del Picchia</v>
      </c>
      <c r="B166" s="93" t="str">
        <f ca="1">IFERROR(__xludf.DUMMYFUNCTION("""COMPUTED_VALUE"""),"Rosangela Araujo Almeida")</f>
        <v>Rosangela Araujo Almeida</v>
      </c>
      <c r="C166" s="93">
        <f ca="1">IFERROR(__xludf.DUMMYFUNCTION("""COMPUTED_VALUE"""),0)</f>
        <v>0</v>
      </c>
      <c r="D166" s="94" t="str">
        <f t="shared" ca="1" si="0"/>
        <v/>
      </c>
      <c r="E166" s="93"/>
      <c r="F166" s="93"/>
      <c r="G166" s="93"/>
      <c r="H166" s="93"/>
    </row>
    <row r="167" spans="1:8" ht="15">
      <c r="A167" s="93" t="str">
        <f ca="1">IFERROR(__xludf.DUMMYFUNCTION("""COMPUTED_VALUE"""),"Menotti Del Picchia")</f>
        <v>Menotti Del Picchia</v>
      </c>
      <c r="B167" s="93" t="str">
        <f ca="1">IFERROR(__xludf.DUMMYFUNCTION("""COMPUTED_VALUE"""),"Ronaldo Roberto Gonçalves da Silva ")</f>
        <v xml:space="preserve">Ronaldo Roberto Gonçalves da Silva </v>
      </c>
      <c r="C167" s="93">
        <f ca="1">IFERROR(__xludf.DUMMYFUNCTION("""COMPUTED_VALUE"""),0)</f>
        <v>0</v>
      </c>
      <c r="D167" s="94" t="str">
        <f t="shared" ca="1" si="0"/>
        <v/>
      </c>
      <c r="E167" s="93"/>
      <c r="F167" s="93"/>
      <c r="G167" s="93"/>
      <c r="H167" s="93"/>
    </row>
    <row r="168" spans="1:8" ht="15">
      <c r="A168" s="93" t="str">
        <f ca="1">IFERROR(__xludf.DUMMYFUNCTION("""COMPUTED_VALUE"""),"Menotti Del Picchia")</f>
        <v>Menotti Del Picchia</v>
      </c>
      <c r="B168" s="93" t="str">
        <f ca="1">IFERROR(__xludf.DUMMYFUNCTION("""COMPUTED_VALUE"""),"Carlos Roberto da Silva")</f>
        <v>Carlos Roberto da Silva</v>
      </c>
      <c r="C168" s="93"/>
      <c r="D168" s="94" t="str">
        <f t="shared" si="0"/>
        <v/>
      </c>
      <c r="E168" s="93"/>
      <c r="F168" s="93"/>
      <c r="G168" s="93"/>
      <c r="H168" s="93"/>
    </row>
    <row r="169" spans="1:8" ht="15">
      <c r="A169" s="93" t="str">
        <f ca="1">IFERROR(__xludf.DUMMYFUNCTION("""COMPUTED_VALUE"""),"Menotti Del Picchia")</f>
        <v>Menotti Del Picchia</v>
      </c>
      <c r="B169" s="93" t="str">
        <f ca="1">IFERROR(__xludf.DUMMYFUNCTION("""COMPUTED_VALUE"""),"Paulo Roberto de Souza")</f>
        <v>Paulo Roberto de Souza</v>
      </c>
      <c r="C169" s="93">
        <f ca="1">IFERROR(__xludf.DUMMYFUNCTION("""COMPUTED_VALUE"""),0)</f>
        <v>0</v>
      </c>
      <c r="D169" s="94" t="str">
        <f t="shared" ca="1" si="0"/>
        <v/>
      </c>
      <c r="E169" s="93"/>
      <c r="F169" s="93"/>
      <c r="G169" s="93"/>
      <c r="H169" s="93"/>
    </row>
    <row r="170" spans="1:8" ht="15">
      <c r="A170" s="93"/>
      <c r="B170" s="93"/>
      <c r="C170" s="93"/>
      <c r="D170" s="94" t="str">
        <f t="shared" si="0"/>
        <v/>
      </c>
      <c r="E170" s="93"/>
      <c r="F170" s="93"/>
      <c r="G170" s="93"/>
      <c r="H170" s="93"/>
    </row>
    <row r="171" spans="1:8" ht="15">
      <c r="A171" s="93" t="str">
        <f ca="1">IFERROR(__xludf.DUMMYFUNCTION("""COMPUTED_VALUE"""),"Milton Santos")</f>
        <v>Milton Santos</v>
      </c>
      <c r="B171" s="93" t="str">
        <f ca="1">IFERROR(__xludf.DUMMYFUNCTION("""COMPUTED_VALUE"""),"Marlene Maria da Silva")</f>
        <v>Marlene Maria da Silva</v>
      </c>
      <c r="C171" s="93">
        <f ca="1">IFERROR(__xludf.DUMMYFUNCTION("""COMPUTED_VALUE"""),0)</f>
        <v>0</v>
      </c>
      <c r="D171" s="94" t="str">
        <f t="shared" ca="1" si="0"/>
        <v/>
      </c>
      <c r="E171" s="93"/>
      <c r="F171" s="93"/>
      <c r="G171" s="93"/>
      <c r="H171" s="93">
        <f ca="1">IFERROR(__xludf.DUMMYFUNCTION("""COMPUTED_VALUE"""),3)</f>
        <v>3</v>
      </c>
    </row>
    <row r="172" spans="1:8" ht="15">
      <c r="A172" s="93" t="str">
        <f ca="1">IFERROR(__xludf.DUMMYFUNCTION("""COMPUTED_VALUE"""),"Milton Santos")</f>
        <v>Milton Santos</v>
      </c>
      <c r="B172" s="93" t="str">
        <f ca="1">IFERROR(__xludf.DUMMYFUNCTION("""COMPUTED_VALUE"""),"Odenir Vinhato")</f>
        <v>Odenir Vinhato</v>
      </c>
      <c r="C172" s="93">
        <f ca="1">IFERROR(__xludf.DUMMYFUNCTION("""COMPUTED_VALUE"""),0)</f>
        <v>0</v>
      </c>
      <c r="D172" s="94" t="str">
        <f t="shared" ca="1" si="0"/>
        <v/>
      </c>
      <c r="E172" s="93"/>
      <c r="F172" s="93"/>
      <c r="G172" s="93"/>
      <c r="H172" s="93"/>
    </row>
    <row r="173" spans="1:8" ht="15">
      <c r="A173" s="93" t="str">
        <f ca="1">IFERROR(__xludf.DUMMYFUNCTION("""COMPUTED_VALUE"""),"Milton Santos")</f>
        <v>Milton Santos</v>
      </c>
      <c r="B173" s="93" t="str">
        <f ca="1">IFERROR(__xludf.DUMMYFUNCTION("""COMPUTED_VALUE"""),"Maria de Lourdes da Silva Ferreira")</f>
        <v>Maria de Lourdes da Silva Ferreira</v>
      </c>
      <c r="C173" s="93">
        <f ca="1">IFERROR(__xludf.DUMMYFUNCTION("""COMPUTED_VALUE"""),1)</f>
        <v>1</v>
      </c>
      <c r="D173" s="94" t="str">
        <f t="shared" ca="1" si="0"/>
        <v>Maria de Lourdes da Silva Ferreira</v>
      </c>
      <c r="E173" s="93"/>
      <c r="F173" s="93"/>
      <c r="G173" s="93"/>
      <c r="H173" s="93"/>
    </row>
    <row r="174" spans="1:8" ht="15">
      <c r="A174" s="93"/>
      <c r="B174" s="93"/>
      <c r="C174" s="93"/>
      <c r="D174" s="94" t="str">
        <f t="shared" si="0"/>
        <v/>
      </c>
      <c r="E174" s="93"/>
      <c r="F174" s="93"/>
      <c r="G174" s="93"/>
      <c r="H174" s="93"/>
    </row>
    <row r="175" spans="1:8" ht="15">
      <c r="A175" s="93" t="str">
        <f ca="1">IFERROR(__xludf.DUMMYFUNCTION("""COMPUTED_VALUE"""),"Monteiro Lobato")</f>
        <v>Monteiro Lobato</v>
      </c>
      <c r="B175" s="93" t="str">
        <f ca="1">IFERROR(__xludf.DUMMYFUNCTION("""COMPUTED_VALUE"""),"Henrique William Turner")</f>
        <v>Henrique William Turner</v>
      </c>
      <c r="C175" s="93"/>
      <c r="D175" s="94" t="str">
        <f t="shared" si="0"/>
        <v/>
      </c>
      <c r="E175" s="93"/>
      <c r="F175" s="93"/>
      <c r="G175" s="93"/>
      <c r="H175" s="93">
        <f ca="1">IFERROR(__xludf.DUMMYFUNCTION("""COMPUTED_VALUE"""),13)</f>
        <v>13</v>
      </c>
    </row>
    <row r="176" spans="1:8" ht="15">
      <c r="A176" s="93" t="str">
        <f ca="1">IFERROR(__xludf.DUMMYFUNCTION("""COMPUTED_VALUE"""),"Monteiro Lobato")</f>
        <v>Monteiro Lobato</v>
      </c>
      <c r="B176" s="93" t="str">
        <f ca="1">IFERROR(__xludf.DUMMYFUNCTION("""COMPUTED_VALUE"""),"Maria de Fátima França Baptista")</f>
        <v>Maria de Fátima França Baptista</v>
      </c>
      <c r="C176" s="93"/>
      <c r="D176" s="94" t="str">
        <f t="shared" si="0"/>
        <v/>
      </c>
      <c r="E176" s="93"/>
      <c r="F176" s="93"/>
      <c r="G176" s="93"/>
      <c r="H176" s="93"/>
    </row>
    <row r="177" spans="1:8" ht="15">
      <c r="A177" s="93" t="str">
        <f ca="1">IFERROR(__xludf.DUMMYFUNCTION("""COMPUTED_VALUE"""),"Monteiro Lobato")</f>
        <v>Monteiro Lobato</v>
      </c>
      <c r="B177" s="93" t="str">
        <f ca="1">IFERROR(__xludf.DUMMYFUNCTION("""COMPUTED_VALUE"""),"Marta Nosé Ferreira ")</f>
        <v xml:space="preserve">Marta Nosé Ferreira </v>
      </c>
      <c r="C177" s="93">
        <f ca="1">IFERROR(__xludf.DUMMYFUNCTION("""COMPUTED_VALUE"""),1)</f>
        <v>1</v>
      </c>
      <c r="D177" s="94" t="str">
        <f t="shared" ca="1" si="0"/>
        <v xml:space="preserve">Marta Nosé Ferreira </v>
      </c>
      <c r="E177" s="93"/>
      <c r="F177" s="93"/>
      <c r="G177" s="93"/>
      <c r="H177" s="93"/>
    </row>
    <row r="178" spans="1:8" ht="15">
      <c r="A178" s="93" t="str">
        <f ca="1">IFERROR(__xludf.DUMMYFUNCTION("""COMPUTED_VALUE"""),"Monteiro Lobato")</f>
        <v>Monteiro Lobato</v>
      </c>
      <c r="B178" s="93" t="str">
        <f ca="1">IFERROR(__xludf.DUMMYFUNCTION("""COMPUTED_VALUE"""),"Danilo Montingelli")</f>
        <v>Danilo Montingelli</v>
      </c>
      <c r="C178" s="93">
        <f ca="1">IFERROR(__xludf.DUMMYFUNCTION("""COMPUTED_VALUE"""),0)</f>
        <v>0</v>
      </c>
      <c r="D178" s="94" t="str">
        <f t="shared" ca="1" si="0"/>
        <v/>
      </c>
      <c r="E178" s="93"/>
      <c r="F178" s="93"/>
      <c r="G178" s="93"/>
      <c r="H178" s="93"/>
    </row>
    <row r="179" spans="1:8" ht="15">
      <c r="A179" s="93" t="str">
        <f ca="1">IFERROR(__xludf.DUMMYFUNCTION("""COMPUTED_VALUE"""),"Monteiro Lobato")</f>
        <v>Monteiro Lobato</v>
      </c>
      <c r="B179" s="93" t="str">
        <f ca="1">IFERROR(__xludf.DUMMYFUNCTION("""COMPUTED_VALUE"""),"Eulália Maria Camara Lobato")</f>
        <v>Eulália Maria Camara Lobato</v>
      </c>
      <c r="C179" s="93">
        <f ca="1">IFERROR(__xludf.DUMMYFUNCTION("""COMPUTED_VALUE"""),0)</f>
        <v>0</v>
      </c>
      <c r="D179" s="94" t="str">
        <f t="shared" ca="1" si="0"/>
        <v/>
      </c>
      <c r="E179" s="93"/>
      <c r="F179" s="93"/>
      <c r="G179" s="93"/>
      <c r="H179" s="93"/>
    </row>
    <row r="180" spans="1:8" ht="15">
      <c r="A180" s="93" t="str">
        <f ca="1">IFERROR(__xludf.DUMMYFUNCTION("""COMPUTED_VALUE"""),"Monteiro Lobato")</f>
        <v>Monteiro Lobato</v>
      </c>
      <c r="B180" s="93" t="str">
        <f ca="1">IFERROR(__xludf.DUMMYFUNCTION("""COMPUTED_VALUE"""),"João de Pontes Junior")</f>
        <v>João de Pontes Junior</v>
      </c>
      <c r="C180" s="93">
        <f ca="1">IFERROR(__xludf.DUMMYFUNCTION("""COMPUTED_VALUE"""),0)</f>
        <v>0</v>
      </c>
      <c r="D180" s="94" t="str">
        <f t="shared" ca="1" si="0"/>
        <v/>
      </c>
      <c r="E180" s="93"/>
      <c r="F180" s="93"/>
      <c r="G180" s="93"/>
      <c r="H180" s="93"/>
    </row>
    <row r="181" spans="1:8" ht="15">
      <c r="A181" s="93" t="str">
        <f ca="1">IFERROR(__xludf.DUMMYFUNCTION("""COMPUTED_VALUE"""),"Monteiro Lobato")</f>
        <v>Monteiro Lobato</v>
      </c>
      <c r="B181" s="93" t="str">
        <f ca="1">IFERROR(__xludf.DUMMYFUNCTION("""COMPUTED_VALUE"""),"Maria Edina de Oliveira")</f>
        <v>Maria Edina de Oliveira</v>
      </c>
      <c r="C181" s="93">
        <f ca="1">IFERROR(__xludf.DUMMYFUNCTION("""COMPUTED_VALUE"""),0)</f>
        <v>0</v>
      </c>
      <c r="D181" s="94" t="str">
        <f t="shared" ca="1" si="0"/>
        <v/>
      </c>
      <c r="E181" s="93"/>
      <c r="F181" s="93"/>
      <c r="G181" s="93"/>
      <c r="H181" s="93"/>
    </row>
    <row r="182" spans="1:8" ht="15">
      <c r="A182" s="93" t="str">
        <f ca="1">IFERROR(__xludf.DUMMYFUNCTION("""COMPUTED_VALUE"""),"Monteiro Lobato")</f>
        <v>Monteiro Lobato</v>
      </c>
      <c r="B182" s="93" t="str">
        <f ca="1">IFERROR(__xludf.DUMMYFUNCTION("""COMPUTED_VALUE"""),"Cláudia Izar Vieira")</f>
        <v>Cláudia Izar Vieira</v>
      </c>
      <c r="C182" s="93"/>
      <c r="D182" s="94" t="str">
        <f t="shared" si="0"/>
        <v/>
      </c>
      <c r="E182" s="93"/>
      <c r="F182" s="93"/>
      <c r="G182" s="93"/>
      <c r="H182" s="93"/>
    </row>
    <row r="183" spans="1:8" ht="15">
      <c r="A183" s="93" t="str">
        <f ca="1">IFERROR(__xludf.DUMMYFUNCTION("""COMPUTED_VALUE"""),"Monteiro Lobato")</f>
        <v>Monteiro Lobato</v>
      </c>
      <c r="B183" s="93" t="str">
        <f ca="1">IFERROR(__xludf.DUMMYFUNCTION("""COMPUTED_VALUE"""),"Micheli de Araujo Oliveira")</f>
        <v>Micheli de Araujo Oliveira</v>
      </c>
      <c r="C183" s="93"/>
      <c r="D183" s="94" t="str">
        <f t="shared" si="0"/>
        <v/>
      </c>
      <c r="E183" s="93"/>
      <c r="F183" s="93"/>
      <c r="G183" s="93"/>
      <c r="H183" s="93"/>
    </row>
    <row r="184" spans="1:8" ht="15">
      <c r="A184" s="93" t="str">
        <f ca="1">IFERROR(__xludf.DUMMYFUNCTION("""COMPUTED_VALUE"""),"Monteiro Lobato")</f>
        <v>Monteiro Lobato</v>
      </c>
      <c r="B184" s="93" t="str">
        <f ca="1">IFERROR(__xludf.DUMMYFUNCTION("""COMPUTED_VALUE"""),"
Valeria Zanchitta")</f>
        <v xml:space="preserve">
Valeria Zanchitta</v>
      </c>
      <c r="C184" s="93">
        <f ca="1">IFERROR(__xludf.DUMMYFUNCTION("""COMPUTED_VALUE"""),0)</f>
        <v>0</v>
      </c>
      <c r="D184" s="94" t="str">
        <f t="shared" ca="1" si="0"/>
        <v/>
      </c>
      <c r="E184" s="93"/>
      <c r="F184" s="93"/>
      <c r="G184" s="93"/>
      <c r="H184" s="93"/>
    </row>
    <row r="185" spans="1:8" ht="15">
      <c r="A185" s="93" t="str">
        <f ca="1">IFERROR(__xludf.DUMMYFUNCTION("""COMPUTED_VALUE"""),"Monteiro Lobato")</f>
        <v>Monteiro Lobato</v>
      </c>
      <c r="B185" s="93" t="str">
        <f ca="1">IFERROR(__xludf.DUMMYFUNCTION("""COMPUTED_VALUE"""),"Analice Reffi ")</f>
        <v xml:space="preserve">Analice Reffi </v>
      </c>
      <c r="C185" s="93"/>
      <c r="D185" s="94" t="str">
        <f t="shared" si="0"/>
        <v/>
      </c>
      <c r="E185" s="93"/>
      <c r="F185" s="93"/>
      <c r="G185" s="93"/>
      <c r="H185" s="93"/>
    </row>
    <row r="186" spans="1:8" ht="15">
      <c r="A186" s="93" t="str">
        <f ca="1">IFERROR(__xludf.DUMMYFUNCTION("""COMPUTED_VALUE"""),"Monteiro Lobato")</f>
        <v>Monteiro Lobato</v>
      </c>
      <c r="B186" s="93" t="str">
        <f ca="1">IFERROR(__xludf.DUMMYFUNCTION("""COMPUTED_VALUE"""),"Clara Aparecida de Aguiar Poli ")</f>
        <v xml:space="preserve">Clara Aparecida de Aguiar Poli </v>
      </c>
      <c r="C186" s="93"/>
      <c r="D186" s="94" t="str">
        <f t="shared" si="0"/>
        <v/>
      </c>
      <c r="E186" s="93"/>
      <c r="F186" s="93"/>
      <c r="G186" s="93"/>
      <c r="H186" s="93"/>
    </row>
    <row r="187" spans="1:8" ht="15">
      <c r="A187" s="93" t="str">
        <f ca="1">IFERROR(__xludf.DUMMYFUNCTION("""COMPUTED_VALUE"""),"Monteiro Lobato")</f>
        <v>Monteiro Lobato</v>
      </c>
      <c r="B187" s="93" t="str">
        <f ca="1">IFERROR(__xludf.DUMMYFUNCTION("""COMPUTED_VALUE"""),"Antonio Carlos D'Angelo")</f>
        <v>Antonio Carlos D'Angelo</v>
      </c>
      <c r="C187" s="93"/>
      <c r="D187" s="94" t="str">
        <f t="shared" si="0"/>
        <v/>
      </c>
      <c r="E187" s="93"/>
      <c r="F187" s="93"/>
      <c r="G187" s="93"/>
      <c r="H187" s="93"/>
    </row>
    <row r="188" spans="1:8" ht="15">
      <c r="A188" s="93"/>
      <c r="B188" s="93"/>
      <c r="C188" s="93"/>
      <c r="D188" s="94" t="str">
        <f t="shared" si="0"/>
        <v/>
      </c>
      <c r="E188" s="93"/>
      <c r="F188" s="93"/>
      <c r="G188" s="93"/>
      <c r="H188" s="93"/>
    </row>
    <row r="189" spans="1:8" ht="15">
      <c r="A189" s="93" t="str">
        <f ca="1">IFERROR(__xludf.DUMMYFUNCTION("""COMPUTED_VALUE"""),"Narbal Fontes")</f>
        <v>Narbal Fontes</v>
      </c>
      <c r="B189" s="93" t="str">
        <f ca="1">IFERROR(__xludf.DUMMYFUNCTION("""COMPUTED_VALUE"""),"Roberto Abílio")</f>
        <v>Roberto Abílio</v>
      </c>
      <c r="C189" s="93"/>
      <c r="D189" s="94" t="str">
        <f t="shared" si="0"/>
        <v/>
      </c>
      <c r="E189" s="93"/>
      <c r="F189" s="93"/>
      <c r="G189" s="93"/>
      <c r="H189" s="93">
        <f ca="1">IFERROR(__xludf.DUMMYFUNCTION("""COMPUTED_VALUE"""),5)</f>
        <v>5</v>
      </c>
    </row>
    <row r="190" spans="1:8" ht="15">
      <c r="A190" s="93" t="str">
        <f ca="1">IFERROR(__xludf.DUMMYFUNCTION("""COMPUTED_VALUE"""),"Narbal Fontes")</f>
        <v>Narbal Fontes</v>
      </c>
      <c r="B190" s="93" t="str">
        <f ca="1">IFERROR(__xludf.DUMMYFUNCTION("""COMPUTED_VALUE"""),"Mirian dos Santos Deveza")</f>
        <v>Mirian dos Santos Deveza</v>
      </c>
      <c r="C190" s="93">
        <f ca="1">IFERROR(__xludf.DUMMYFUNCTION("""COMPUTED_VALUE"""),0)</f>
        <v>0</v>
      </c>
      <c r="D190" s="94" t="str">
        <f t="shared" ca="1" si="0"/>
        <v/>
      </c>
      <c r="E190" s="93"/>
      <c r="F190" s="93"/>
      <c r="G190" s="93"/>
      <c r="H190" s="93"/>
    </row>
    <row r="191" spans="1:8" ht="15">
      <c r="A191" s="93" t="str">
        <f ca="1">IFERROR(__xludf.DUMMYFUNCTION("""COMPUTED_VALUE"""),"Narbal Fontes")</f>
        <v>Narbal Fontes</v>
      </c>
      <c r="B191" s="93" t="str">
        <f ca="1">IFERROR(__xludf.DUMMYFUNCTION("""COMPUTED_VALUE"""),"Raquel Beatriz da Conceição")</f>
        <v>Raquel Beatriz da Conceição</v>
      </c>
      <c r="C191" s="93">
        <f ca="1">IFERROR(__xludf.DUMMYFUNCTION("""COMPUTED_VALUE"""),1)</f>
        <v>1</v>
      </c>
      <c r="D191" s="94" t="str">
        <f t="shared" ca="1" si="0"/>
        <v>Raquel Beatriz da Conceição</v>
      </c>
      <c r="E191" s="93"/>
      <c r="F191" s="93"/>
      <c r="G191" s="93"/>
      <c r="H191" s="93"/>
    </row>
    <row r="192" spans="1:8" ht="15">
      <c r="A192" s="93" t="str">
        <f ca="1">IFERROR(__xludf.DUMMYFUNCTION("""COMPUTED_VALUE"""),"Narbal Fontes")</f>
        <v>Narbal Fontes</v>
      </c>
      <c r="B192" s="93" t="str">
        <f ca="1">IFERROR(__xludf.DUMMYFUNCTION("""COMPUTED_VALUE"""),"Andirá Alves Julio")</f>
        <v>Andirá Alves Julio</v>
      </c>
      <c r="C192" s="93">
        <f ca="1">IFERROR(__xludf.DUMMYFUNCTION("""COMPUTED_VALUE"""),0)</f>
        <v>0</v>
      </c>
      <c r="D192" s="94" t="str">
        <f t="shared" ca="1" si="0"/>
        <v/>
      </c>
      <c r="E192" s="93"/>
      <c r="F192" s="93"/>
      <c r="G192" s="93"/>
      <c r="H192" s="93"/>
    </row>
    <row r="193" spans="1:8" ht="15">
      <c r="A193" s="93" t="str">
        <f ca="1">IFERROR(__xludf.DUMMYFUNCTION("""COMPUTED_VALUE"""),"Narbal Fontes")</f>
        <v>Narbal Fontes</v>
      </c>
      <c r="B193" s="93" t="str">
        <f ca="1">IFERROR(__xludf.DUMMYFUNCTION("""COMPUTED_VALUE"""),"Edison Clementino de Souza")</f>
        <v>Edison Clementino de Souza</v>
      </c>
      <c r="C193" s="93"/>
      <c r="D193" s="94" t="str">
        <f t="shared" si="0"/>
        <v/>
      </c>
      <c r="E193" s="93"/>
      <c r="F193" s="93"/>
      <c r="G193" s="93"/>
      <c r="H193" s="93"/>
    </row>
    <row r="194" spans="1:8" ht="15">
      <c r="A194" s="93"/>
      <c r="B194" s="93"/>
      <c r="C194" s="93"/>
      <c r="D194" s="94" t="str">
        <f t="shared" si="0"/>
        <v/>
      </c>
      <c r="E194" s="93"/>
      <c r="F194" s="93"/>
      <c r="G194" s="93"/>
      <c r="H194" s="93"/>
    </row>
    <row r="195" spans="1:8" ht="15">
      <c r="A195" s="93" t="str">
        <f ca="1">IFERROR(__xludf.DUMMYFUNCTION("""COMPUTED_VALUE"""),"Nuto Sant'Anna")</f>
        <v>Nuto Sant'Anna</v>
      </c>
      <c r="B195" s="93" t="str">
        <f ca="1">IFERROR(__xludf.DUMMYFUNCTION("""COMPUTED_VALUE"""),"Katianne Pereira da Silva e Silva")</f>
        <v>Katianne Pereira da Silva e Silva</v>
      </c>
      <c r="C195" s="93">
        <f ca="1">IFERROR(__xludf.DUMMYFUNCTION("""COMPUTED_VALUE"""),1)</f>
        <v>1</v>
      </c>
      <c r="D195" s="94" t="str">
        <f t="shared" ca="1" si="0"/>
        <v>Katianne Pereira da Silva e Silva</v>
      </c>
      <c r="E195" s="93"/>
      <c r="F195" s="93"/>
      <c r="G195" s="93"/>
      <c r="H195" s="93">
        <f ca="1">IFERROR(__xludf.DUMMYFUNCTION("""COMPUTED_VALUE"""),5)</f>
        <v>5</v>
      </c>
    </row>
    <row r="196" spans="1:8" ht="15">
      <c r="A196" s="93" t="str">
        <f ca="1">IFERROR(__xludf.DUMMYFUNCTION("""COMPUTED_VALUE"""),"Nuto Sant'Anna")</f>
        <v>Nuto Sant'Anna</v>
      </c>
      <c r="B196" s="93" t="str">
        <f ca="1">IFERROR(__xludf.DUMMYFUNCTION("""COMPUTED_VALUE"""),"Renata Gonçalves Ferrari")</f>
        <v>Renata Gonçalves Ferrari</v>
      </c>
      <c r="C196" s="93">
        <f ca="1">IFERROR(__xludf.DUMMYFUNCTION("""COMPUTED_VALUE"""),0)</f>
        <v>0</v>
      </c>
      <c r="D196" s="94" t="str">
        <f t="shared" ca="1" si="0"/>
        <v/>
      </c>
      <c r="E196" s="93"/>
      <c r="F196" s="93"/>
      <c r="G196" s="93"/>
      <c r="H196" s="93"/>
    </row>
    <row r="197" spans="1:8" ht="15">
      <c r="A197" s="93" t="str">
        <f ca="1">IFERROR(__xludf.DUMMYFUNCTION("""COMPUTED_VALUE"""),"Nuto Sant'Anna")</f>
        <v>Nuto Sant'Anna</v>
      </c>
      <c r="B197" s="93" t="str">
        <f ca="1">IFERROR(__xludf.DUMMYFUNCTION("""COMPUTED_VALUE"""),"Fernanda Cristina Ferreira")</f>
        <v>Fernanda Cristina Ferreira</v>
      </c>
      <c r="C197" s="93"/>
      <c r="D197" s="94" t="str">
        <f t="shared" si="0"/>
        <v/>
      </c>
      <c r="E197" s="93"/>
      <c r="F197" s="93"/>
      <c r="G197" s="93"/>
      <c r="H197" s="93"/>
    </row>
    <row r="198" spans="1:8" ht="15">
      <c r="A198" s="93" t="str">
        <f ca="1">IFERROR(__xludf.DUMMYFUNCTION("""COMPUTED_VALUE"""),"Nuto Sant'Anna")</f>
        <v>Nuto Sant'Anna</v>
      </c>
      <c r="B198" s="93" t="str">
        <f ca="1">IFERROR(__xludf.DUMMYFUNCTION("""COMPUTED_VALUE"""),"José Teixeira dos Santos")</f>
        <v>José Teixeira dos Santos</v>
      </c>
      <c r="C198" s="93"/>
      <c r="D198" s="94" t="str">
        <f t="shared" si="0"/>
        <v/>
      </c>
      <c r="E198" s="93"/>
      <c r="F198" s="93"/>
      <c r="G198" s="93"/>
      <c r="H198" s="93"/>
    </row>
    <row r="199" spans="1:8" ht="15">
      <c r="A199" s="93" t="str">
        <f ca="1">IFERROR(__xludf.DUMMYFUNCTION("""COMPUTED_VALUE"""),"Nuto Sant'Anna")</f>
        <v>Nuto Sant'Anna</v>
      </c>
      <c r="B199" s="93" t="str">
        <f ca="1">IFERROR(__xludf.DUMMYFUNCTION("""COMPUTED_VALUE"""),"Rodolfo Calil Lessa")</f>
        <v>Rodolfo Calil Lessa</v>
      </c>
      <c r="C199" s="93"/>
      <c r="D199" s="94" t="str">
        <f t="shared" si="0"/>
        <v/>
      </c>
      <c r="E199" s="93"/>
      <c r="F199" s="93"/>
      <c r="G199" s="93"/>
      <c r="H199" s="93"/>
    </row>
    <row r="200" spans="1:8" ht="15">
      <c r="A200" s="93"/>
      <c r="B200" s="93"/>
      <c r="C200" s="93"/>
      <c r="D200" s="94" t="str">
        <f t="shared" si="0"/>
        <v/>
      </c>
      <c r="E200" s="93"/>
      <c r="F200" s="93"/>
      <c r="G200" s="93"/>
      <c r="H200" s="93"/>
    </row>
    <row r="201" spans="1:8" ht="15">
      <c r="A201" s="93" t="str">
        <f ca="1">IFERROR(__xludf.DUMMYFUNCTION("""COMPUTED_VALUE"""),"Padre José de Anchieta")</f>
        <v>Padre José de Anchieta</v>
      </c>
      <c r="B201" s="93" t="str">
        <f ca="1">IFERROR(__xludf.DUMMYFUNCTION("""COMPUTED_VALUE"""),"Maria Elizabeth Caldellas Pedrosa")</f>
        <v>Maria Elizabeth Caldellas Pedrosa</v>
      </c>
      <c r="C201" s="93">
        <f ca="1">IFERROR(__xludf.DUMMYFUNCTION("""COMPUTED_VALUE"""),1)</f>
        <v>1</v>
      </c>
      <c r="D201" s="94" t="str">
        <f t="shared" ca="1" si="0"/>
        <v>Maria Elizabeth Caldellas Pedrosa</v>
      </c>
      <c r="E201" s="93"/>
      <c r="F201" s="93"/>
      <c r="G201" s="93"/>
      <c r="H201" s="93">
        <f ca="1">IFERROR(__xludf.DUMMYFUNCTION("""COMPUTED_VALUE"""),6)</f>
        <v>6</v>
      </c>
    </row>
    <row r="202" spans="1:8" ht="15">
      <c r="A202" s="93" t="str">
        <f ca="1">IFERROR(__xludf.DUMMYFUNCTION("""COMPUTED_VALUE"""),"Padre José de Anchieta")</f>
        <v>Padre José de Anchieta</v>
      </c>
      <c r="B202" s="93" t="str">
        <f ca="1">IFERROR(__xludf.DUMMYFUNCTION("""COMPUTED_VALUE"""),"Marli Aparecida dos Santos")</f>
        <v>Marli Aparecida dos Santos</v>
      </c>
      <c r="C202" s="93">
        <f ca="1">IFERROR(__xludf.DUMMYFUNCTION("""COMPUTED_VALUE"""),0)</f>
        <v>0</v>
      </c>
      <c r="D202" s="94" t="str">
        <f t="shared" ca="1" si="0"/>
        <v/>
      </c>
      <c r="E202" s="93"/>
      <c r="F202" s="93"/>
      <c r="G202" s="93"/>
      <c r="H202" s="93"/>
    </row>
    <row r="203" spans="1:8" ht="15">
      <c r="A203" s="93" t="str">
        <f ca="1">IFERROR(__xludf.DUMMYFUNCTION("""COMPUTED_VALUE"""),"Padre José de Anchieta")</f>
        <v>Padre José de Anchieta</v>
      </c>
      <c r="B203" s="93" t="str">
        <f ca="1">IFERROR(__xludf.DUMMYFUNCTION("""COMPUTED_VALUE"""),"Heronildes Batista")</f>
        <v>Heronildes Batista</v>
      </c>
      <c r="C203" s="93"/>
      <c r="D203" s="94" t="str">
        <f t="shared" si="0"/>
        <v/>
      </c>
      <c r="E203" s="93"/>
      <c r="F203" s="93"/>
      <c r="G203" s="93"/>
      <c r="H203" s="93"/>
    </row>
    <row r="204" spans="1:8" ht="15">
      <c r="A204" s="93" t="str">
        <f ca="1">IFERROR(__xludf.DUMMYFUNCTION("""COMPUTED_VALUE"""),"Padre José de Anchieta")</f>
        <v>Padre José de Anchieta</v>
      </c>
      <c r="B204" s="93" t="str">
        <f ca="1">IFERROR(__xludf.DUMMYFUNCTION("""COMPUTED_VALUE"""),"Ana Virginia Ferreira Carmo")</f>
        <v>Ana Virginia Ferreira Carmo</v>
      </c>
      <c r="C204" s="93">
        <f ca="1">IFERROR(__xludf.DUMMYFUNCTION("""COMPUTED_VALUE"""),0)</f>
        <v>0</v>
      </c>
      <c r="D204" s="94" t="str">
        <f t="shared" ca="1" si="0"/>
        <v/>
      </c>
      <c r="E204" s="93"/>
      <c r="F204" s="93"/>
      <c r="G204" s="93"/>
      <c r="H204" s="93"/>
    </row>
    <row r="205" spans="1:8" ht="15">
      <c r="A205" s="93" t="str">
        <f ca="1">IFERROR(__xludf.DUMMYFUNCTION("""COMPUTED_VALUE"""),"Padre José de Anchieta")</f>
        <v>Padre José de Anchieta</v>
      </c>
      <c r="B205" s="93" t="str">
        <f ca="1">IFERROR(__xludf.DUMMYFUNCTION("""COMPUTED_VALUE"""),"Claudio Ferreira da Silva")</f>
        <v>Claudio Ferreira da Silva</v>
      </c>
      <c r="C205" s="93"/>
      <c r="D205" s="94" t="str">
        <f t="shared" si="0"/>
        <v/>
      </c>
      <c r="E205" s="93"/>
      <c r="F205" s="93"/>
      <c r="G205" s="93"/>
      <c r="H205" s="93"/>
    </row>
    <row r="206" spans="1:8" ht="15">
      <c r="A206" s="93" t="str">
        <f ca="1">IFERROR(__xludf.DUMMYFUNCTION("""COMPUTED_VALUE"""),"Padre José de Anchieta")</f>
        <v>Padre José de Anchieta</v>
      </c>
      <c r="B206" s="93" t="str">
        <f ca="1">IFERROR(__xludf.DUMMYFUNCTION("""COMPUTED_VALUE"""),"Pureza Maria da Silva")</f>
        <v>Pureza Maria da Silva</v>
      </c>
      <c r="C206" s="93"/>
      <c r="D206" s="94" t="str">
        <f t="shared" si="0"/>
        <v/>
      </c>
      <c r="E206" s="93"/>
      <c r="F206" s="93"/>
      <c r="G206" s="93"/>
      <c r="H206" s="93"/>
    </row>
    <row r="207" spans="1:8" ht="15">
      <c r="A207" s="93"/>
      <c r="B207" s="93"/>
      <c r="C207" s="93"/>
      <c r="D207" s="94" t="str">
        <f t="shared" si="0"/>
        <v/>
      </c>
      <c r="E207" s="93"/>
      <c r="F207" s="93"/>
      <c r="G207" s="93"/>
      <c r="H207" s="93"/>
    </row>
    <row r="208" spans="1:8" ht="15">
      <c r="A208" s="93" t="str">
        <f ca="1">IFERROR(__xludf.DUMMYFUNCTION("""COMPUTED_VALUE"""),"Paulo Duarte")</f>
        <v>Paulo Duarte</v>
      </c>
      <c r="B208" s="93" t="str">
        <f ca="1">IFERROR(__xludf.DUMMYFUNCTION("""COMPUTED_VALUE"""),"Mauro Cabrelon")</f>
        <v>Mauro Cabrelon</v>
      </c>
      <c r="C208" s="93">
        <f ca="1">IFERROR(__xludf.DUMMYFUNCTION("""COMPUTED_VALUE"""),0)</f>
        <v>0</v>
      </c>
      <c r="D208" s="94" t="str">
        <f t="shared" ca="1" si="0"/>
        <v/>
      </c>
      <c r="E208" s="93"/>
      <c r="F208" s="93"/>
      <c r="G208" s="93"/>
      <c r="H208" s="93">
        <f ca="1">IFERROR(__xludf.DUMMYFUNCTION("""COMPUTED_VALUE"""),1)</f>
        <v>1</v>
      </c>
    </row>
    <row r="209" spans="1:8" ht="15">
      <c r="A209" s="93"/>
      <c r="B209" s="93"/>
      <c r="C209" s="93"/>
      <c r="D209" s="94" t="str">
        <f t="shared" si="0"/>
        <v/>
      </c>
      <c r="E209" s="93"/>
      <c r="F209" s="93"/>
      <c r="G209" s="93"/>
      <c r="H209" s="93"/>
    </row>
    <row r="210" spans="1:8" ht="15">
      <c r="A210" s="93" t="str">
        <f ca="1">IFERROR(__xludf.DUMMYFUNCTION("""COMPUTED_VALUE"""),"Paulo Sérgio Duarte Milliet")</f>
        <v>Paulo Sérgio Duarte Milliet</v>
      </c>
      <c r="B210" s="93" t="str">
        <f ca="1">IFERROR(__xludf.DUMMYFUNCTION("""COMPUTED_VALUE"""),"Angélica Inês Azevedo Albertini")</f>
        <v>Angélica Inês Azevedo Albertini</v>
      </c>
      <c r="C210" s="93">
        <f ca="1">IFERROR(__xludf.DUMMYFUNCTION("""COMPUTED_VALUE"""),1)</f>
        <v>1</v>
      </c>
      <c r="D210" s="94" t="str">
        <f t="shared" ca="1" si="0"/>
        <v>Angélica Inês Azevedo Albertini</v>
      </c>
      <c r="E210" s="93"/>
      <c r="F210" s="93"/>
      <c r="G210" s="93"/>
      <c r="H210" s="93">
        <f ca="1">IFERROR(__xludf.DUMMYFUNCTION("""COMPUTED_VALUE"""),7)</f>
        <v>7</v>
      </c>
    </row>
    <row r="211" spans="1:8" ht="15">
      <c r="A211" s="93" t="str">
        <f ca="1">IFERROR(__xludf.DUMMYFUNCTION("""COMPUTED_VALUE"""),"Paulo Sérgio Duarte Milliet")</f>
        <v>Paulo Sérgio Duarte Milliet</v>
      </c>
      <c r="B211" s="93" t="str">
        <f ca="1">IFERROR(__xludf.DUMMYFUNCTION("""COMPUTED_VALUE"""),"Cledemir Rodrigues de Oliveira")</f>
        <v>Cledemir Rodrigues de Oliveira</v>
      </c>
      <c r="C211" s="93"/>
      <c r="D211" s="94" t="str">
        <f t="shared" si="0"/>
        <v/>
      </c>
      <c r="E211" s="93"/>
      <c r="F211" s="93"/>
      <c r="G211" s="93"/>
      <c r="H211" s="93"/>
    </row>
    <row r="212" spans="1:8" ht="15">
      <c r="A212" s="93" t="str">
        <f ca="1">IFERROR(__xludf.DUMMYFUNCTION("""COMPUTED_VALUE"""),"Paulo Sérgio Duarte Milliet")</f>
        <v>Paulo Sérgio Duarte Milliet</v>
      </c>
      <c r="B212" s="93" t="str">
        <f ca="1">IFERROR(__xludf.DUMMYFUNCTION("""COMPUTED_VALUE"""),"Márcia Massako Inoue")</f>
        <v>Márcia Massako Inoue</v>
      </c>
      <c r="C212" s="93">
        <f ca="1">IFERROR(__xludf.DUMMYFUNCTION("""COMPUTED_VALUE"""),0)</f>
        <v>0</v>
      </c>
      <c r="D212" s="94" t="str">
        <f t="shared" ca="1" si="0"/>
        <v/>
      </c>
      <c r="E212" s="93"/>
      <c r="F212" s="93"/>
      <c r="G212" s="93"/>
      <c r="H212" s="93"/>
    </row>
    <row r="213" spans="1:8" ht="15">
      <c r="A213" s="93" t="str">
        <f ca="1">IFERROR(__xludf.DUMMYFUNCTION("""COMPUTED_VALUE"""),"Paulo Sérgio Duarte Milliet")</f>
        <v>Paulo Sérgio Duarte Milliet</v>
      </c>
      <c r="B213" s="93" t="str">
        <f ca="1">IFERROR(__xludf.DUMMYFUNCTION("""COMPUTED_VALUE"""),"Rosemeire Usmari da Cruz")</f>
        <v>Rosemeire Usmari da Cruz</v>
      </c>
      <c r="C213" s="93"/>
      <c r="D213" s="94" t="str">
        <f t="shared" si="0"/>
        <v/>
      </c>
      <c r="E213" s="93"/>
      <c r="F213" s="93"/>
      <c r="G213" s="93"/>
      <c r="H213" s="93"/>
    </row>
    <row r="214" spans="1:8" ht="15">
      <c r="A214" s="93" t="str">
        <f ca="1">IFERROR(__xludf.DUMMYFUNCTION("""COMPUTED_VALUE"""),"Paulo Sérgio Duarte Milliet")</f>
        <v>Paulo Sérgio Duarte Milliet</v>
      </c>
      <c r="B214" s="93" t="str">
        <f ca="1">IFERROR(__xludf.DUMMYFUNCTION("""COMPUTED_VALUE"""),"Edvaldo Luís Silva")</f>
        <v>Edvaldo Luís Silva</v>
      </c>
      <c r="C214" s="93"/>
      <c r="D214" s="94" t="str">
        <f t="shared" si="0"/>
        <v/>
      </c>
      <c r="E214" s="93"/>
      <c r="F214" s="93"/>
      <c r="G214" s="93"/>
      <c r="H214" s="93"/>
    </row>
    <row r="215" spans="1:8" ht="15">
      <c r="A215" s="93" t="str">
        <f ca="1">IFERROR(__xludf.DUMMYFUNCTION("""COMPUTED_VALUE"""),"Paulo Sérgio Duarte Milliet")</f>
        <v>Paulo Sérgio Duarte Milliet</v>
      </c>
      <c r="B215" s="93" t="str">
        <f ca="1">IFERROR(__xludf.DUMMYFUNCTION("""COMPUTED_VALUE"""),"Caroline Pazini Cavalcante")</f>
        <v>Caroline Pazini Cavalcante</v>
      </c>
      <c r="C215" s="93">
        <f ca="1">IFERROR(__xludf.DUMMYFUNCTION("""COMPUTED_VALUE"""),0)</f>
        <v>0</v>
      </c>
      <c r="D215" s="94" t="str">
        <f t="shared" ca="1" si="0"/>
        <v/>
      </c>
      <c r="E215" s="93"/>
      <c r="F215" s="93"/>
      <c r="G215" s="93"/>
      <c r="H215" s="93"/>
    </row>
    <row r="216" spans="1:8" ht="15">
      <c r="A216" s="93" t="str">
        <f ca="1">IFERROR(__xludf.DUMMYFUNCTION("""COMPUTED_VALUE"""),"Paulo Sérgio Duarte Milliet")</f>
        <v>Paulo Sérgio Duarte Milliet</v>
      </c>
      <c r="B216" s="93" t="str">
        <f ca="1">IFERROR(__xludf.DUMMYFUNCTION("""COMPUTED_VALUE"""),"Jaime Jara")</f>
        <v>Jaime Jara</v>
      </c>
      <c r="C216" s="93"/>
      <c r="D216" s="94" t="str">
        <f t="shared" si="0"/>
        <v/>
      </c>
      <c r="E216" s="93"/>
      <c r="F216" s="93"/>
      <c r="G216" s="93"/>
      <c r="H216" s="93"/>
    </row>
    <row r="217" spans="1:8" ht="15">
      <c r="A217" s="93"/>
      <c r="B217" s="93"/>
      <c r="C217" s="93"/>
      <c r="D217" s="94" t="str">
        <f t="shared" si="0"/>
        <v/>
      </c>
      <c r="E217" s="93"/>
      <c r="F217" s="93"/>
      <c r="G217" s="93"/>
      <c r="H217" s="93"/>
    </row>
    <row r="218" spans="1:8" ht="15">
      <c r="A218" s="93" t="str">
        <f ca="1">IFERROR(__xludf.DUMMYFUNCTION("""COMPUTED_VALUE"""),"Paulo Setúbal")</f>
        <v>Paulo Setúbal</v>
      </c>
      <c r="B218" s="93" t="str">
        <f ca="1">IFERROR(__xludf.DUMMYFUNCTION("""COMPUTED_VALUE"""),"Valdemir Munhoz Primo")</f>
        <v>Valdemir Munhoz Primo</v>
      </c>
      <c r="C218" s="93">
        <f ca="1">IFERROR(__xludf.DUMMYFUNCTION("""COMPUTED_VALUE"""),0)</f>
        <v>0</v>
      </c>
      <c r="D218" s="94" t="str">
        <f t="shared" ca="1" si="0"/>
        <v/>
      </c>
      <c r="E218" s="93"/>
      <c r="F218" s="93"/>
      <c r="G218" s="93"/>
      <c r="H218" s="93">
        <f ca="1">IFERROR(__xludf.DUMMYFUNCTION("""COMPUTED_VALUE"""),2)</f>
        <v>2</v>
      </c>
    </row>
    <row r="219" spans="1:8" ht="15">
      <c r="A219" s="93" t="str">
        <f ca="1">IFERROR(__xludf.DUMMYFUNCTION("""COMPUTED_VALUE"""),"Paulo Setúbal")</f>
        <v>Paulo Setúbal</v>
      </c>
      <c r="B219" s="93" t="str">
        <f ca="1">IFERROR(__xludf.DUMMYFUNCTION("""COMPUTED_VALUE"""),"Dirce Conceição Camargo de Barros")</f>
        <v>Dirce Conceição Camargo de Barros</v>
      </c>
      <c r="C219" s="93">
        <f ca="1">IFERROR(__xludf.DUMMYFUNCTION("""COMPUTED_VALUE"""),0)</f>
        <v>0</v>
      </c>
      <c r="D219" s="94" t="str">
        <f t="shared" ca="1" si="0"/>
        <v/>
      </c>
      <c r="E219" s="93"/>
      <c r="F219" s="93"/>
      <c r="G219" s="93"/>
      <c r="H219" s="93"/>
    </row>
    <row r="220" spans="1:8" ht="15">
      <c r="A220" s="93"/>
      <c r="B220" s="93"/>
      <c r="C220" s="93"/>
      <c r="D220" s="94" t="str">
        <f t="shared" si="0"/>
        <v/>
      </c>
      <c r="E220" s="93"/>
      <c r="F220" s="93"/>
      <c r="G220" s="93"/>
      <c r="H220" s="93"/>
    </row>
    <row r="221" spans="1:8" ht="15">
      <c r="A221" s="93" t="str">
        <f ca="1">IFERROR(__xludf.DUMMYFUNCTION("""COMPUTED_VALUE"""),"Pedro Nava")</f>
        <v>Pedro Nava</v>
      </c>
      <c r="B221" s="93" t="str">
        <f ca="1">IFERROR(__xludf.DUMMYFUNCTION("""COMPUTED_VALUE"""),"Clenilde Gonçalves dos Santos")</f>
        <v>Clenilde Gonçalves dos Santos</v>
      </c>
      <c r="C221" s="93">
        <f ca="1">IFERROR(__xludf.DUMMYFUNCTION("""COMPUTED_VALUE"""),0)</f>
        <v>0</v>
      </c>
      <c r="D221" s="94" t="str">
        <f t="shared" ca="1" si="0"/>
        <v/>
      </c>
      <c r="E221" s="93"/>
      <c r="F221" s="93"/>
      <c r="G221" s="93"/>
      <c r="H221" s="93">
        <f ca="1">IFERROR(__xludf.DUMMYFUNCTION("""COMPUTED_VALUE"""),3)</f>
        <v>3</v>
      </c>
    </row>
    <row r="222" spans="1:8" ht="15">
      <c r="A222" s="93" t="str">
        <f ca="1">IFERROR(__xludf.DUMMYFUNCTION("""COMPUTED_VALUE"""),"Pedro Nava")</f>
        <v>Pedro Nava</v>
      </c>
      <c r="B222" s="93" t="str">
        <f ca="1">IFERROR(__xludf.DUMMYFUNCTION("""COMPUTED_VALUE"""),"Carolina Filardo Lauretti")</f>
        <v>Carolina Filardo Lauretti</v>
      </c>
      <c r="C222" s="93">
        <f ca="1">IFERROR(__xludf.DUMMYFUNCTION("""COMPUTED_VALUE"""),0)</f>
        <v>0</v>
      </c>
      <c r="D222" s="94" t="str">
        <f t="shared" ca="1" si="0"/>
        <v/>
      </c>
      <c r="E222" s="93"/>
      <c r="F222" s="93"/>
      <c r="G222" s="93"/>
      <c r="H222" s="93"/>
    </row>
    <row r="223" spans="1:8" ht="15">
      <c r="A223" s="93" t="str">
        <f ca="1">IFERROR(__xludf.DUMMYFUNCTION("""COMPUTED_VALUE"""),"Pedro Nava")</f>
        <v>Pedro Nava</v>
      </c>
      <c r="B223" s="93" t="str">
        <f ca="1">IFERROR(__xludf.DUMMYFUNCTION("""COMPUTED_VALUE"""),"Thais da Silva Farias")</f>
        <v>Thais da Silva Farias</v>
      </c>
      <c r="C223" s="93">
        <f ca="1">IFERROR(__xludf.DUMMYFUNCTION("""COMPUTED_VALUE"""),1)</f>
        <v>1</v>
      </c>
      <c r="D223" s="94" t="str">
        <f t="shared" ca="1" si="0"/>
        <v>Thais da Silva Farias</v>
      </c>
      <c r="E223" s="93"/>
      <c r="F223" s="93"/>
      <c r="G223" s="93"/>
      <c r="H223" s="93"/>
    </row>
    <row r="224" spans="1:8" ht="15">
      <c r="A224" s="93"/>
      <c r="B224" s="93"/>
      <c r="C224" s="93"/>
      <c r="D224" s="94" t="str">
        <f t="shared" si="0"/>
        <v/>
      </c>
      <c r="E224" s="93"/>
      <c r="F224" s="93"/>
      <c r="G224" s="93"/>
      <c r="H224" s="93"/>
    </row>
    <row r="225" spans="1:8" ht="15">
      <c r="A225" s="93" t="str">
        <f ca="1">IFERROR(__xludf.DUMMYFUNCTION("""COMPUTED_VALUE"""),"Prefeito Prestes Maia")</f>
        <v>Prefeito Prestes Maia</v>
      </c>
      <c r="B225" s="93" t="str">
        <f ca="1">IFERROR(__xludf.DUMMYFUNCTION("""COMPUTED_VALUE"""),"Maricy Calejo Godoy Lemos de Vasconcelos")</f>
        <v>Maricy Calejo Godoy Lemos de Vasconcelos</v>
      </c>
      <c r="C225" s="93"/>
      <c r="D225" s="94" t="str">
        <f t="shared" si="0"/>
        <v/>
      </c>
      <c r="E225" s="93"/>
      <c r="F225" s="93"/>
      <c r="G225" s="93"/>
      <c r="H225" s="93">
        <f ca="1">IFERROR(__xludf.DUMMYFUNCTION("""COMPUTED_VALUE"""),6)</f>
        <v>6</v>
      </c>
    </row>
    <row r="226" spans="1:8" ht="15">
      <c r="A226" s="93" t="str">
        <f ca="1">IFERROR(__xludf.DUMMYFUNCTION("""COMPUTED_VALUE"""),"Prefeito Prestes Maia")</f>
        <v>Prefeito Prestes Maia</v>
      </c>
      <c r="B226" s="93" t="str">
        <f ca="1">IFERROR(__xludf.DUMMYFUNCTION("""COMPUTED_VALUE"""),"Carlos Alberto Garcia Amaya")</f>
        <v>Carlos Alberto Garcia Amaya</v>
      </c>
      <c r="C226" s="93"/>
      <c r="D226" s="94" t="str">
        <f t="shared" si="0"/>
        <v/>
      </c>
      <c r="E226" s="93"/>
      <c r="F226" s="93"/>
      <c r="G226" s="93"/>
      <c r="H226" s="93"/>
    </row>
    <row r="227" spans="1:8" ht="15">
      <c r="A227" s="93" t="str">
        <f ca="1">IFERROR(__xludf.DUMMYFUNCTION("""COMPUTED_VALUE"""),"Prefeito Prestes Maia")</f>
        <v>Prefeito Prestes Maia</v>
      </c>
      <c r="B227" s="93" t="str">
        <f ca="1">IFERROR(__xludf.DUMMYFUNCTION("""COMPUTED_VALUE"""),"Gustavo Biscaino Remério ")</f>
        <v xml:space="preserve">Gustavo Biscaino Remério </v>
      </c>
      <c r="C227" s="93">
        <f ca="1">IFERROR(__xludf.DUMMYFUNCTION("""COMPUTED_VALUE"""),1)</f>
        <v>1</v>
      </c>
      <c r="D227" s="94" t="str">
        <f t="shared" ca="1" si="0"/>
        <v xml:space="preserve">Gustavo Biscaino Remério </v>
      </c>
      <c r="E227" s="93"/>
      <c r="F227" s="93"/>
      <c r="G227" s="93"/>
      <c r="H227" s="93"/>
    </row>
    <row r="228" spans="1:8" ht="15">
      <c r="A228" s="93" t="str">
        <f ca="1">IFERROR(__xludf.DUMMYFUNCTION("""COMPUTED_VALUE"""),"Prefeito Prestes Maia")</f>
        <v>Prefeito Prestes Maia</v>
      </c>
      <c r="B228" s="93" t="str">
        <f ca="1">IFERROR(__xludf.DUMMYFUNCTION("""COMPUTED_VALUE"""),"Marilene Soares Barboza")</f>
        <v>Marilene Soares Barboza</v>
      </c>
      <c r="C228" s="93"/>
      <c r="D228" s="94" t="str">
        <f t="shared" si="0"/>
        <v/>
      </c>
      <c r="E228" s="93"/>
      <c r="F228" s="93"/>
      <c r="G228" s="93"/>
      <c r="H228" s="93"/>
    </row>
    <row r="229" spans="1:8" ht="15">
      <c r="A229" s="93" t="str">
        <f ca="1">IFERROR(__xludf.DUMMYFUNCTION("""COMPUTED_VALUE"""),"Prefeito Prestes Maia")</f>
        <v>Prefeito Prestes Maia</v>
      </c>
      <c r="B229" s="93" t="str">
        <f ca="1">IFERROR(__xludf.DUMMYFUNCTION("""COMPUTED_VALUE"""),"Amelia Harue Kaji")</f>
        <v>Amelia Harue Kaji</v>
      </c>
      <c r="C229" s="93"/>
      <c r="D229" s="94" t="str">
        <f t="shared" si="0"/>
        <v/>
      </c>
      <c r="E229" s="93"/>
      <c r="F229" s="93"/>
      <c r="G229" s="93"/>
      <c r="H229" s="93"/>
    </row>
    <row r="230" spans="1:8" ht="15">
      <c r="A230" s="93" t="str">
        <f ca="1">IFERROR(__xludf.DUMMYFUNCTION("""COMPUTED_VALUE"""),"Prefeito Prestes Maia")</f>
        <v>Prefeito Prestes Maia</v>
      </c>
      <c r="B230" s="93" t="str">
        <f ca="1">IFERROR(__xludf.DUMMYFUNCTION("""COMPUTED_VALUE"""),"Marli Affonso Pinto")</f>
        <v>Marli Affonso Pinto</v>
      </c>
      <c r="C230" s="93"/>
      <c r="D230" s="94" t="str">
        <f t="shared" si="0"/>
        <v/>
      </c>
      <c r="E230" s="93"/>
      <c r="F230" s="93"/>
      <c r="G230" s="93"/>
      <c r="H230" s="93"/>
    </row>
    <row r="231" spans="1:8" ht="15">
      <c r="A231" s="93"/>
      <c r="B231" s="93"/>
      <c r="C231" s="93"/>
      <c r="D231" s="94" t="str">
        <f t="shared" si="0"/>
        <v/>
      </c>
      <c r="E231" s="93"/>
      <c r="F231" s="93"/>
      <c r="G231" s="93"/>
      <c r="H231" s="93"/>
    </row>
    <row r="232" spans="1:8" ht="15">
      <c r="A232" s="93" t="str">
        <f ca="1">IFERROR(__xludf.DUMMYFUNCTION("""COMPUTED_VALUE"""),"Professor Arnaldo Magalhães Giácomo")</f>
        <v>Professor Arnaldo Magalhães Giácomo</v>
      </c>
      <c r="B232" s="93" t="str">
        <f ca="1">IFERROR(__xludf.DUMMYFUNCTION("""COMPUTED_VALUE"""),"Maria Aparecida Teles Gomes")</f>
        <v>Maria Aparecida Teles Gomes</v>
      </c>
      <c r="C232" s="93">
        <f ca="1">IFERROR(__xludf.DUMMYFUNCTION("""COMPUTED_VALUE"""),1)</f>
        <v>1</v>
      </c>
      <c r="D232" s="94" t="str">
        <f t="shared" ca="1" si="0"/>
        <v>Maria Aparecida Teles Gomes</v>
      </c>
      <c r="E232" s="93"/>
      <c r="F232" s="93"/>
      <c r="G232" s="93"/>
      <c r="H232" s="93">
        <f ca="1">IFERROR(__xludf.DUMMYFUNCTION("""COMPUTED_VALUE"""),3)</f>
        <v>3</v>
      </c>
    </row>
    <row r="233" spans="1:8" ht="15">
      <c r="A233" s="93" t="str">
        <f ca="1">IFERROR(__xludf.DUMMYFUNCTION("""COMPUTED_VALUE"""),"Professor Arnaldo Magalhães Giácomo")</f>
        <v>Professor Arnaldo Magalhães Giácomo</v>
      </c>
      <c r="B233" s="93" t="str">
        <f ca="1">IFERROR(__xludf.DUMMYFUNCTION("""COMPUTED_VALUE"""),"Israel Inácio dos Santos")</f>
        <v>Israel Inácio dos Santos</v>
      </c>
      <c r="C233" s="93"/>
      <c r="D233" s="94" t="str">
        <f t="shared" si="0"/>
        <v/>
      </c>
      <c r="E233" s="93"/>
      <c r="F233" s="93"/>
      <c r="G233" s="93"/>
      <c r="H233" s="93"/>
    </row>
    <row r="234" spans="1:8" ht="15">
      <c r="A234" s="93" t="str">
        <f ca="1">IFERROR(__xludf.DUMMYFUNCTION("""COMPUTED_VALUE"""),"Professor Arnaldo Magalhães Giácomo")</f>
        <v>Professor Arnaldo Magalhães Giácomo</v>
      </c>
      <c r="B234" s="93" t="str">
        <f ca="1">IFERROR(__xludf.DUMMYFUNCTION("""COMPUTED_VALUE"""),"Eduardo Joaquim")</f>
        <v>Eduardo Joaquim</v>
      </c>
      <c r="C234" s="93"/>
      <c r="D234" s="94" t="str">
        <f t="shared" si="0"/>
        <v/>
      </c>
      <c r="E234" s="93"/>
      <c r="F234" s="93"/>
      <c r="G234" s="93"/>
      <c r="H234" s="93"/>
    </row>
    <row r="235" spans="1:8" ht="15">
      <c r="A235" s="93"/>
      <c r="B235" s="93"/>
      <c r="C235" s="93"/>
      <c r="D235" s="94" t="str">
        <f t="shared" si="0"/>
        <v/>
      </c>
      <c r="E235" s="93"/>
      <c r="F235" s="93"/>
      <c r="G235" s="93"/>
      <c r="H235" s="93"/>
    </row>
    <row r="236" spans="1:8" ht="15">
      <c r="A236" s="93" t="str">
        <f ca="1">IFERROR(__xludf.DUMMYFUNCTION("""COMPUTED_VALUE"""),"Raimundo de Menezes")</f>
        <v>Raimundo de Menezes</v>
      </c>
      <c r="B236" s="93" t="str">
        <f ca="1">IFERROR(__xludf.DUMMYFUNCTION("""COMPUTED_VALUE"""),"Cicera Cleide Mascarenhas Santana")</f>
        <v>Cicera Cleide Mascarenhas Santana</v>
      </c>
      <c r="C236" s="93">
        <f ca="1">IFERROR(__xludf.DUMMYFUNCTION("""COMPUTED_VALUE"""),1)</f>
        <v>1</v>
      </c>
      <c r="D236" s="94" t="str">
        <f t="shared" ca="1" si="0"/>
        <v>Cicera Cleide Mascarenhas Santana</v>
      </c>
      <c r="E236" s="93"/>
      <c r="F236" s="93"/>
      <c r="G236" s="93"/>
      <c r="H236" s="93">
        <f ca="1">IFERROR(__xludf.DUMMYFUNCTION("""COMPUTED_VALUE"""),7)</f>
        <v>7</v>
      </c>
    </row>
    <row r="237" spans="1:8" ht="15">
      <c r="A237" s="93" t="str">
        <f ca="1">IFERROR(__xludf.DUMMYFUNCTION("""COMPUTED_VALUE"""),"Raimundo de Menezes")</f>
        <v>Raimundo de Menezes</v>
      </c>
      <c r="B237" s="93" t="str">
        <f ca="1">IFERROR(__xludf.DUMMYFUNCTION("""COMPUTED_VALUE"""),"Iranilde Alves Freires de Farias")</f>
        <v>Iranilde Alves Freires de Farias</v>
      </c>
      <c r="C237" s="93"/>
      <c r="D237" s="94" t="str">
        <f t="shared" si="0"/>
        <v/>
      </c>
      <c r="E237" s="93"/>
      <c r="F237" s="93"/>
      <c r="G237" s="93"/>
      <c r="H237" s="93"/>
    </row>
    <row r="238" spans="1:8" ht="15">
      <c r="A238" s="93" t="str">
        <f ca="1">IFERROR(__xludf.DUMMYFUNCTION("""COMPUTED_VALUE"""),"Raimundo de Menezes")</f>
        <v>Raimundo de Menezes</v>
      </c>
      <c r="B238" s="93" t="str">
        <f ca="1">IFERROR(__xludf.DUMMYFUNCTION("""COMPUTED_VALUE"""),"Marisa Dutra")</f>
        <v>Marisa Dutra</v>
      </c>
      <c r="C238" s="93"/>
      <c r="D238" s="94" t="str">
        <f t="shared" si="0"/>
        <v/>
      </c>
      <c r="E238" s="93"/>
      <c r="F238" s="93"/>
      <c r="G238" s="93"/>
      <c r="H238" s="93"/>
    </row>
    <row r="239" spans="1:8" ht="15">
      <c r="A239" s="93" t="str">
        <f ca="1">IFERROR(__xludf.DUMMYFUNCTION("""COMPUTED_VALUE"""),"Raimundo de Menezes")</f>
        <v>Raimundo de Menezes</v>
      </c>
      <c r="B239" s="93" t="str">
        <f ca="1">IFERROR(__xludf.DUMMYFUNCTION("""COMPUTED_VALUE"""),"Erico Nunes Ferreira")</f>
        <v>Erico Nunes Ferreira</v>
      </c>
      <c r="C239" s="93">
        <f ca="1">IFERROR(__xludf.DUMMYFUNCTION("""COMPUTED_VALUE"""),0)</f>
        <v>0</v>
      </c>
      <c r="D239" s="94" t="str">
        <f t="shared" ca="1" si="0"/>
        <v/>
      </c>
      <c r="E239" s="93"/>
      <c r="F239" s="93"/>
      <c r="G239" s="93"/>
      <c r="H239" s="93"/>
    </row>
    <row r="240" spans="1:8" ht="15">
      <c r="A240" s="93" t="str">
        <f ca="1">IFERROR(__xludf.DUMMYFUNCTION("""COMPUTED_VALUE"""),"Raimundo de Menezes")</f>
        <v>Raimundo de Menezes</v>
      </c>
      <c r="B240" s="93" t="str">
        <f ca="1">IFERROR(__xludf.DUMMYFUNCTION("""COMPUTED_VALUE"""),"José Roberto Dantas")</f>
        <v>José Roberto Dantas</v>
      </c>
      <c r="C240" s="93"/>
      <c r="D240" s="94" t="str">
        <f t="shared" si="0"/>
        <v/>
      </c>
      <c r="E240" s="93"/>
      <c r="F240" s="93"/>
      <c r="G240" s="93"/>
      <c r="H240" s="93"/>
    </row>
    <row r="241" spans="1:8" ht="15">
      <c r="A241" s="93" t="str">
        <f ca="1">IFERROR(__xludf.DUMMYFUNCTION("""COMPUTED_VALUE"""),"Raimundo de Menezes")</f>
        <v>Raimundo de Menezes</v>
      </c>
      <c r="B241" s="93" t="str">
        <f ca="1">IFERROR(__xludf.DUMMYFUNCTION("""COMPUTED_VALUE"""),"Márcia da Silva Santos Fonseca")</f>
        <v>Márcia da Silva Santos Fonseca</v>
      </c>
      <c r="C241" s="93"/>
      <c r="D241" s="94" t="str">
        <f t="shared" si="0"/>
        <v/>
      </c>
      <c r="E241" s="93"/>
      <c r="F241" s="93"/>
      <c r="G241" s="93"/>
      <c r="H241" s="93"/>
    </row>
    <row r="242" spans="1:8" ht="15">
      <c r="A242" s="93" t="str">
        <f ca="1">IFERROR(__xludf.DUMMYFUNCTION("""COMPUTED_VALUE"""),"Raimundo de Menezes")</f>
        <v>Raimundo de Menezes</v>
      </c>
      <c r="B242" s="93" t="str">
        <f ca="1">IFERROR(__xludf.DUMMYFUNCTION("""COMPUTED_VALUE"""),"Joanita Pereira dos Anjos ")</f>
        <v xml:space="preserve">Joanita Pereira dos Anjos </v>
      </c>
      <c r="C242" s="93"/>
      <c r="D242" s="94" t="str">
        <f t="shared" si="0"/>
        <v/>
      </c>
      <c r="E242" s="93"/>
      <c r="F242" s="93"/>
      <c r="G242" s="93"/>
      <c r="H242" s="93"/>
    </row>
    <row r="243" spans="1:8" ht="15">
      <c r="A243" s="93"/>
      <c r="B243" s="93"/>
      <c r="C243" s="93"/>
      <c r="D243" s="94" t="str">
        <f t="shared" si="0"/>
        <v/>
      </c>
      <c r="E243" s="93"/>
      <c r="F243" s="93"/>
      <c r="G243" s="93"/>
      <c r="H243" s="93"/>
    </row>
    <row r="244" spans="1:8" ht="15">
      <c r="A244" s="93" t="str">
        <f ca="1">IFERROR(__xludf.DUMMYFUNCTION("""COMPUTED_VALUE"""),"Raul Bopp")</f>
        <v>Raul Bopp</v>
      </c>
      <c r="B244" s="93" t="str">
        <f ca="1">IFERROR(__xludf.DUMMYFUNCTION("""COMPUTED_VALUE"""),"Daniela Moura Rocha")</f>
        <v>Daniela Moura Rocha</v>
      </c>
      <c r="C244" s="93"/>
      <c r="D244" s="94" t="str">
        <f t="shared" si="0"/>
        <v/>
      </c>
      <c r="E244" s="93"/>
      <c r="F244" s="93"/>
      <c r="G244" s="93"/>
      <c r="H244" s="93">
        <f ca="1">IFERROR(__xludf.DUMMYFUNCTION("""COMPUTED_VALUE"""),3)</f>
        <v>3</v>
      </c>
    </row>
    <row r="245" spans="1:8" ht="15">
      <c r="A245" s="93" t="str">
        <f ca="1">IFERROR(__xludf.DUMMYFUNCTION("""COMPUTED_VALUE"""),"Raul Bopp")</f>
        <v>Raul Bopp</v>
      </c>
      <c r="B245" s="93" t="str">
        <f ca="1">IFERROR(__xludf.DUMMYFUNCTION("""COMPUTED_VALUE"""),"Washington Luiz Bezerra")</f>
        <v>Washington Luiz Bezerra</v>
      </c>
      <c r="C245" s="93">
        <f ca="1">IFERROR(__xludf.DUMMYFUNCTION("""COMPUTED_VALUE"""),0)</f>
        <v>0</v>
      </c>
      <c r="D245" s="94" t="str">
        <f t="shared" ca="1" si="0"/>
        <v/>
      </c>
      <c r="E245" s="93"/>
      <c r="F245" s="93"/>
      <c r="G245" s="93"/>
      <c r="H245" s="93"/>
    </row>
    <row r="246" spans="1:8" ht="15">
      <c r="A246" s="93" t="str">
        <f ca="1">IFERROR(__xludf.DUMMYFUNCTION("""COMPUTED_VALUE"""),"Raul Bopp")</f>
        <v>Raul Bopp</v>
      </c>
      <c r="B246" s="93" t="str">
        <f ca="1">IFERROR(__xludf.DUMMYFUNCTION("""COMPUTED_VALUE"""),"Charlene Kathlen de Lemos")</f>
        <v>Charlene Kathlen de Lemos</v>
      </c>
      <c r="C246" s="93">
        <f ca="1">IFERROR(__xludf.DUMMYFUNCTION("""COMPUTED_VALUE"""),1)</f>
        <v>1</v>
      </c>
      <c r="D246" s="94" t="str">
        <f t="shared" ca="1" si="0"/>
        <v>Charlene Kathlen de Lemos</v>
      </c>
      <c r="E246" s="93"/>
      <c r="F246" s="93"/>
      <c r="G246" s="93"/>
      <c r="H246" s="93"/>
    </row>
    <row r="247" spans="1:8" ht="15">
      <c r="A247" s="93"/>
      <c r="B247" s="93"/>
      <c r="C247" s="93"/>
      <c r="D247" s="94" t="str">
        <f t="shared" si="0"/>
        <v/>
      </c>
      <c r="E247" s="93"/>
      <c r="F247" s="93"/>
      <c r="G247" s="93"/>
      <c r="H247" s="93"/>
    </row>
    <row r="248" spans="1:8" ht="15">
      <c r="A248" s="93" t="str">
        <f ca="1">IFERROR(__xludf.DUMMYFUNCTION("""COMPUTED_VALUE"""),"Ricardo Ramos")</f>
        <v>Ricardo Ramos</v>
      </c>
      <c r="B248" s="93" t="str">
        <f ca="1">IFERROR(__xludf.DUMMYFUNCTION("""COMPUTED_VALUE"""),"Cyro de Loreto Alves")</f>
        <v>Cyro de Loreto Alves</v>
      </c>
      <c r="C248" s="93"/>
      <c r="D248" s="94" t="str">
        <f t="shared" si="0"/>
        <v/>
      </c>
      <c r="E248" s="93"/>
      <c r="F248" s="93"/>
      <c r="G248" s="93"/>
      <c r="H248" s="93">
        <f ca="1">IFERROR(__xludf.DUMMYFUNCTION("""COMPUTED_VALUE"""),5)</f>
        <v>5</v>
      </c>
    </row>
    <row r="249" spans="1:8" ht="15">
      <c r="A249" s="93" t="str">
        <f ca="1">IFERROR(__xludf.DUMMYFUNCTION("""COMPUTED_VALUE"""),"Ricardo Ramos")</f>
        <v>Ricardo Ramos</v>
      </c>
      <c r="B249" s="93" t="str">
        <f ca="1">IFERROR(__xludf.DUMMYFUNCTION("""COMPUTED_VALUE"""),"Vilma Santos Oliveira")</f>
        <v>Vilma Santos Oliveira</v>
      </c>
      <c r="C249" s="93"/>
      <c r="D249" s="94" t="str">
        <f t="shared" si="0"/>
        <v/>
      </c>
      <c r="E249" s="93"/>
      <c r="F249" s="93"/>
      <c r="G249" s="93"/>
      <c r="H249" s="93"/>
    </row>
    <row r="250" spans="1:8" ht="15">
      <c r="A250" s="93" t="str">
        <f ca="1">IFERROR(__xludf.DUMMYFUNCTION("""COMPUTED_VALUE"""),"Ricardo Ramos")</f>
        <v>Ricardo Ramos</v>
      </c>
      <c r="B250" s="93" t="str">
        <f ca="1">IFERROR(__xludf.DUMMYFUNCTION("""COMPUTED_VALUE"""),"Claudio Senna de Oliveira")</f>
        <v>Claudio Senna de Oliveira</v>
      </c>
      <c r="C250" s="93"/>
      <c r="D250" s="94" t="str">
        <f t="shared" si="0"/>
        <v/>
      </c>
      <c r="E250" s="93"/>
      <c r="F250" s="93"/>
      <c r="G250" s="93"/>
      <c r="H250" s="93"/>
    </row>
    <row r="251" spans="1:8" ht="15">
      <c r="A251" s="93" t="str">
        <f ca="1">IFERROR(__xludf.DUMMYFUNCTION("""COMPUTED_VALUE"""),"Ricardo Ramos")</f>
        <v>Ricardo Ramos</v>
      </c>
      <c r="B251" s="93" t="str">
        <f ca="1">IFERROR(__xludf.DUMMYFUNCTION("""COMPUTED_VALUE"""),"Barbara Boucinha de Almeida Bischoff Voto")</f>
        <v>Barbara Boucinha de Almeida Bischoff Voto</v>
      </c>
      <c r="C251" s="93">
        <f ca="1">IFERROR(__xludf.DUMMYFUNCTION("""COMPUTED_VALUE"""),0)</f>
        <v>0</v>
      </c>
      <c r="D251" s="94" t="str">
        <f t="shared" ca="1" si="0"/>
        <v/>
      </c>
      <c r="E251" s="93"/>
      <c r="F251" s="93"/>
      <c r="G251" s="93"/>
      <c r="H251" s="93"/>
    </row>
    <row r="252" spans="1:8" ht="15">
      <c r="A252" s="93" t="str">
        <f ca="1">IFERROR(__xludf.DUMMYFUNCTION("""COMPUTED_VALUE"""),"Ricardo Ramos")</f>
        <v>Ricardo Ramos</v>
      </c>
      <c r="B252" s="93" t="str">
        <f ca="1">IFERROR(__xludf.DUMMYFUNCTION("""COMPUTED_VALUE"""),"Cristiana Dias de Carvalho")</f>
        <v>Cristiana Dias de Carvalho</v>
      </c>
      <c r="C252" s="93">
        <f ca="1">IFERROR(__xludf.DUMMYFUNCTION("""COMPUTED_VALUE"""),1)</f>
        <v>1</v>
      </c>
      <c r="D252" s="94" t="str">
        <f t="shared" ca="1" si="0"/>
        <v>Cristiana Dias de Carvalho</v>
      </c>
      <c r="E252" s="93"/>
      <c r="F252" s="93"/>
      <c r="G252" s="93"/>
      <c r="H252" s="93"/>
    </row>
    <row r="253" spans="1:8" ht="15">
      <c r="A253" s="93"/>
      <c r="B253" s="93"/>
      <c r="C253" s="93"/>
      <c r="D253" s="94" t="str">
        <f t="shared" si="0"/>
        <v/>
      </c>
      <c r="E253" s="93"/>
      <c r="F253" s="93"/>
      <c r="G253" s="93"/>
      <c r="H253" s="93"/>
    </row>
    <row r="254" spans="1:8" ht="15">
      <c r="A254" s="93" t="str">
        <f ca="1">IFERROR(__xludf.DUMMYFUNCTION("""COMPUTED_VALUE"""),"Roberto Santos")</f>
        <v>Roberto Santos</v>
      </c>
      <c r="B254" s="93" t="str">
        <f ca="1">IFERROR(__xludf.DUMMYFUNCTION("""COMPUTED_VALUE"""),"Carlos Alberto Aielo")</f>
        <v>Carlos Alberto Aielo</v>
      </c>
      <c r="C254" s="93"/>
      <c r="D254" s="94" t="str">
        <f t="shared" si="0"/>
        <v/>
      </c>
      <c r="E254" s="93"/>
      <c r="F254" s="93"/>
      <c r="G254" s="93"/>
      <c r="H254" s="93">
        <f ca="1">IFERROR(__xludf.DUMMYFUNCTION("""COMPUTED_VALUE"""),5)</f>
        <v>5</v>
      </c>
    </row>
    <row r="255" spans="1:8" ht="15">
      <c r="A255" s="93" t="str">
        <f ca="1">IFERROR(__xludf.DUMMYFUNCTION("""COMPUTED_VALUE"""),"Roberto Santos")</f>
        <v>Roberto Santos</v>
      </c>
      <c r="B255" s="93" t="str">
        <f ca="1">IFERROR(__xludf.DUMMYFUNCTION("""COMPUTED_VALUE"""),"João Aparecido Soares")</f>
        <v>João Aparecido Soares</v>
      </c>
      <c r="C255" s="93">
        <f ca="1">IFERROR(__xludf.DUMMYFUNCTION("""COMPUTED_VALUE"""),0)</f>
        <v>0</v>
      </c>
      <c r="D255" s="94" t="str">
        <f t="shared" ca="1" si="0"/>
        <v/>
      </c>
      <c r="E255" s="93"/>
      <c r="F255" s="93"/>
      <c r="G255" s="93"/>
      <c r="H255" s="93"/>
    </row>
    <row r="256" spans="1:8" ht="15">
      <c r="A256" s="93" t="str">
        <f ca="1">IFERROR(__xludf.DUMMYFUNCTION("""COMPUTED_VALUE"""),"Roberto Santos")</f>
        <v>Roberto Santos</v>
      </c>
      <c r="B256" s="93" t="str">
        <f ca="1">IFERROR(__xludf.DUMMYFUNCTION("""COMPUTED_VALUE"""),"Edmilson Brito Barbosa")</f>
        <v>Edmilson Brito Barbosa</v>
      </c>
      <c r="C256" s="93">
        <f ca="1">IFERROR(__xludf.DUMMYFUNCTION("""COMPUTED_VALUE"""),0)</f>
        <v>0</v>
      </c>
      <c r="D256" s="94" t="str">
        <f t="shared" ca="1" si="0"/>
        <v/>
      </c>
      <c r="E256" s="93"/>
      <c r="F256" s="93"/>
      <c r="G256" s="93"/>
      <c r="H256" s="93"/>
    </row>
    <row r="257" spans="1:8" ht="15">
      <c r="A257" s="93" t="str">
        <f ca="1">IFERROR(__xludf.DUMMYFUNCTION("""COMPUTED_VALUE"""),"Roberto Santos")</f>
        <v>Roberto Santos</v>
      </c>
      <c r="B257" s="93" t="str">
        <f ca="1">IFERROR(__xludf.DUMMYFUNCTION("""COMPUTED_VALUE"""),"Ygor Soares Gonçalves")</f>
        <v>Ygor Soares Gonçalves</v>
      </c>
      <c r="C257" s="93"/>
      <c r="D257" s="94" t="str">
        <f t="shared" ref="D257:D305" si="2">IF(C257 = 1,(B257),"")</f>
        <v/>
      </c>
      <c r="E257" s="93"/>
      <c r="F257" s="93"/>
      <c r="G257" s="93"/>
      <c r="H257" s="93"/>
    </row>
    <row r="258" spans="1:8" ht="15">
      <c r="A258" s="93" t="str">
        <f ca="1">IFERROR(__xludf.DUMMYFUNCTION("""COMPUTED_VALUE"""),"Roberto Santos")</f>
        <v>Roberto Santos</v>
      </c>
      <c r="B258" s="93" t="str">
        <f ca="1">IFERROR(__xludf.DUMMYFUNCTION("""COMPUTED_VALUE"""),"Tatiana Rodrigues Nascimento")</f>
        <v>Tatiana Rodrigues Nascimento</v>
      </c>
      <c r="C258" s="93">
        <f ca="1">IFERROR(__xludf.DUMMYFUNCTION("""COMPUTED_VALUE"""),1)</f>
        <v>1</v>
      </c>
      <c r="D258" s="94" t="str">
        <f t="shared" ca="1" si="2"/>
        <v>Tatiana Rodrigues Nascimento</v>
      </c>
      <c r="E258" s="93"/>
      <c r="F258" s="93"/>
      <c r="G258" s="93"/>
      <c r="H258" s="93"/>
    </row>
    <row r="259" spans="1:8" ht="15">
      <c r="A259" s="93"/>
      <c r="B259" s="93"/>
      <c r="C259" s="93"/>
      <c r="D259" s="94" t="str">
        <f t="shared" si="2"/>
        <v/>
      </c>
      <c r="E259" s="93"/>
      <c r="F259" s="93"/>
      <c r="G259" s="93"/>
      <c r="H259" s="93"/>
    </row>
    <row r="260" spans="1:8" ht="15">
      <c r="A260" s="93" t="str">
        <f ca="1">IFERROR(__xludf.DUMMYFUNCTION("""COMPUTED_VALUE"""),"Rubens Borba Alves de Morais")</f>
        <v>Rubens Borba Alves de Morais</v>
      </c>
      <c r="B260" s="93" t="str">
        <f ca="1">IFERROR(__xludf.DUMMYFUNCTION("""COMPUTED_VALUE"""),"Alice Setsuko Haro Akata ")</f>
        <v xml:space="preserve">Alice Setsuko Haro Akata </v>
      </c>
      <c r="C260" s="93">
        <f ca="1">IFERROR(__xludf.DUMMYFUNCTION("""COMPUTED_VALUE"""),1)</f>
        <v>1</v>
      </c>
      <c r="D260" s="94" t="str">
        <f t="shared" ca="1" si="2"/>
        <v xml:space="preserve">Alice Setsuko Haro Akata </v>
      </c>
      <c r="E260" s="93"/>
      <c r="F260" s="93"/>
      <c r="G260" s="93"/>
      <c r="H260" s="93">
        <f ca="1">IFERROR(__xludf.DUMMYFUNCTION("""COMPUTED_VALUE"""),4)</f>
        <v>4</v>
      </c>
    </row>
    <row r="261" spans="1:8" ht="15">
      <c r="A261" s="93" t="str">
        <f ca="1">IFERROR(__xludf.DUMMYFUNCTION("""COMPUTED_VALUE"""),"Rubens Borba Alves de Morais")</f>
        <v>Rubens Borba Alves de Morais</v>
      </c>
      <c r="B261" s="93" t="str">
        <f ca="1">IFERROR(__xludf.DUMMYFUNCTION("""COMPUTED_VALUE"""),"Jose Luiz Bento Marcelino")</f>
        <v>Jose Luiz Bento Marcelino</v>
      </c>
      <c r="C261" s="93"/>
      <c r="D261" s="94" t="str">
        <f t="shared" si="2"/>
        <v/>
      </c>
      <c r="E261" s="93"/>
      <c r="F261" s="93"/>
      <c r="G261" s="93"/>
      <c r="H261" s="93"/>
    </row>
    <row r="262" spans="1:8" ht="15">
      <c r="A262" s="93" t="str">
        <f ca="1">IFERROR(__xludf.DUMMYFUNCTION("""COMPUTED_VALUE"""),"Rubens Borba Alves de Morais")</f>
        <v>Rubens Borba Alves de Morais</v>
      </c>
      <c r="B262" s="93" t="str">
        <f ca="1">IFERROR(__xludf.DUMMYFUNCTION("""COMPUTED_VALUE"""),"Nilson Antonio de Lima")</f>
        <v>Nilson Antonio de Lima</v>
      </c>
      <c r="C262" s="93"/>
      <c r="D262" s="94" t="str">
        <f t="shared" si="2"/>
        <v/>
      </c>
      <c r="E262" s="93"/>
      <c r="F262" s="93"/>
      <c r="G262" s="93"/>
      <c r="H262" s="93"/>
    </row>
    <row r="263" spans="1:8" ht="15">
      <c r="A263" s="93" t="str">
        <f ca="1">IFERROR(__xludf.DUMMYFUNCTION("""COMPUTED_VALUE"""),"Rubens Borba Alves de Morais")</f>
        <v>Rubens Borba Alves de Morais</v>
      </c>
      <c r="B263" s="93" t="str">
        <f ca="1">IFERROR(__xludf.DUMMYFUNCTION("""COMPUTED_VALUE"""),"Marinete Pionte Koski")</f>
        <v>Marinete Pionte Koski</v>
      </c>
      <c r="C263" s="93"/>
      <c r="D263" s="94" t="str">
        <f t="shared" si="2"/>
        <v/>
      </c>
      <c r="E263" s="93"/>
      <c r="F263" s="93"/>
      <c r="G263" s="93"/>
      <c r="H263" s="93"/>
    </row>
    <row r="264" spans="1:8" ht="15">
      <c r="A264" s="93"/>
      <c r="B264" s="93"/>
      <c r="C264" s="93"/>
      <c r="D264" s="94" t="str">
        <f t="shared" si="2"/>
        <v/>
      </c>
      <c r="E264" s="93"/>
      <c r="F264" s="93"/>
      <c r="G264" s="93"/>
      <c r="H264" s="93"/>
    </row>
    <row r="265" spans="1:8" ht="15">
      <c r="A265" s="93" t="str">
        <f ca="1">IFERROR(__xludf.DUMMYFUNCTION("""COMPUTED_VALUE"""),"Sérgio Buarque de Holanda")</f>
        <v>Sérgio Buarque de Holanda</v>
      </c>
      <c r="B265" s="93" t="str">
        <f ca="1">IFERROR(__xludf.DUMMYFUNCTION("""COMPUTED_VALUE"""),"Maria Ismênia Romualdo Teixeira")</f>
        <v>Maria Ismênia Romualdo Teixeira</v>
      </c>
      <c r="C265" s="93"/>
      <c r="D265" s="94" t="str">
        <f t="shared" si="2"/>
        <v/>
      </c>
      <c r="E265" s="93"/>
      <c r="F265" s="93"/>
      <c r="G265" s="93"/>
      <c r="H265" s="93">
        <f ca="1">IFERROR(__xludf.DUMMYFUNCTION("""COMPUTED_VALUE"""),4)</f>
        <v>4</v>
      </c>
    </row>
    <row r="266" spans="1:8" ht="15">
      <c r="A266" s="93" t="str">
        <f ca="1">IFERROR(__xludf.DUMMYFUNCTION("""COMPUTED_VALUE"""),"Sérgio Buarque de Holanda")</f>
        <v>Sérgio Buarque de Holanda</v>
      </c>
      <c r="B266" s="93" t="str">
        <f ca="1">IFERROR(__xludf.DUMMYFUNCTION("""COMPUTED_VALUE"""),"Aurea dos Santos ")</f>
        <v xml:space="preserve">Aurea dos Santos </v>
      </c>
      <c r="C266" s="93">
        <f ca="1">IFERROR(__xludf.DUMMYFUNCTION("""COMPUTED_VALUE"""),1)</f>
        <v>1</v>
      </c>
      <c r="D266" s="94" t="str">
        <f t="shared" ca="1" si="2"/>
        <v xml:space="preserve">Aurea dos Santos </v>
      </c>
      <c r="E266" s="93"/>
      <c r="F266" s="93"/>
      <c r="G266" s="93"/>
      <c r="H266" s="93"/>
    </row>
    <row r="267" spans="1:8" ht="15">
      <c r="A267" s="93" t="str">
        <f ca="1">IFERROR(__xludf.DUMMYFUNCTION("""COMPUTED_VALUE"""),"Sérgio Buarque de Holanda")</f>
        <v>Sérgio Buarque de Holanda</v>
      </c>
      <c r="B267" s="93" t="str">
        <f ca="1">IFERROR(__xludf.DUMMYFUNCTION("""COMPUTED_VALUE"""),"Nilson Porcino Ivo")</f>
        <v>Nilson Porcino Ivo</v>
      </c>
      <c r="C267" s="93"/>
      <c r="D267" s="94" t="str">
        <f t="shared" si="2"/>
        <v/>
      </c>
      <c r="E267" s="93"/>
      <c r="F267" s="93"/>
      <c r="G267" s="93"/>
      <c r="H267" s="93"/>
    </row>
    <row r="268" spans="1:8" ht="15">
      <c r="A268" s="93" t="str">
        <f ca="1">IFERROR(__xludf.DUMMYFUNCTION("""COMPUTED_VALUE"""),"Sérgio Buarque de Holanda")</f>
        <v>Sérgio Buarque de Holanda</v>
      </c>
      <c r="B268" s="93" t="str">
        <f ca="1">IFERROR(__xludf.DUMMYFUNCTION("""COMPUTED_VALUE"""),"Menézia Benedito da Silva Firmino")</f>
        <v>Menézia Benedito da Silva Firmino</v>
      </c>
      <c r="C268" s="93"/>
      <c r="D268" s="94" t="str">
        <f t="shared" si="2"/>
        <v/>
      </c>
      <c r="E268" s="93"/>
      <c r="F268" s="93"/>
      <c r="G268" s="93"/>
      <c r="H268" s="93"/>
    </row>
    <row r="269" spans="1:8" ht="15">
      <c r="A269" s="93"/>
      <c r="B269" s="93"/>
      <c r="C269" s="93"/>
      <c r="D269" s="94" t="str">
        <f t="shared" si="2"/>
        <v/>
      </c>
      <c r="E269" s="93"/>
      <c r="F269" s="93"/>
      <c r="G269" s="93"/>
      <c r="H269" s="93"/>
    </row>
    <row r="270" spans="1:8" ht="15">
      <c r="A270" s="93" t="str">
        <f ca="1">IFERROR(__xludf.DUMMYFUNCTION("""COMPUTED_VALUE"""),"Sylvia Orthof")</f>
        <v>Sylvia Orthof</v>
      </c>
      <c r="B270" s="93" t="str">
        <f ca="1">IFERROR(__xludf.DUMMYFUNCTION("""COMPUTED_VALUE"""),"Domitila Alves de Oliveira Vila Nova")</f>
        <v>Domitila Alves de Oliveira Vila Nova</v>
      </c>
      <c r="C270" s="93">
        <f ca="1">IFERROR(__xludf.DUMMYFUNCTION("""COMPUTED_VALUE"""),1)</f>
        <v>1</v>
      </c>
      <c r="D270" s="94" t="str">
        <f t="shared" ca="1" si="2"/>
        <v>Domitila Alves de Oliveira Vila Nova</v>
      </c>
      <c r="E270" s="93"/>
      <c r="F270" s="93"/>
      <c r="G270" s="93"/>
      <c r="H270" s="93">
        <f ca="1">IFERROR(__xludf.DUMMYFUNCTION("""COMPUTED_VALUE"""),4)</f>
        <v>4</v>
      </c>
    </row>
    <row r="271" spans="1:8" ht="15">
      <c r="A271" s="93" t="str">
        <f ca="1">IFERROR(__xludf.DUMMYFUNCTION("""COMPUTED_VALUE"""),"Sylvia Orthof")</f>
        <v>Sylvia Orthof</v>
      </c>
      <c r="B271" s="93" t="str">
        <f ca="1">IFERROR(__xludf.DUMMYFUNCTION("""COMPUTED_VALUE"""),"Antonio Domingues")</f>
        <v>Antonio Domingues</v>
      </c>
      <c r="C271" s="93">
        <f ca="1">IFERROR(__xludf.DUMMYFUNCTION("""COMPUTED_VALUE"""),0)</f>
        <v>0</v>
      </c>
      <c r="D271" s="94" t="str">
        <f t="shared" ca="1" si="2"/>
        <v/>
      </c>
      <c r="E271" s="93"/>
      <c r="F271" s="93"/>
      <c r="G271" s="93"/>
      <c r="H271" s="93"/>
    </row>
    <row r="272" spans="1:8" ht="15">
      <c r="A272" s="93" t="str">
        <f ca="1">IFERROR(__xludf.DUMMYFUNCTION("""COMPUTED_VALUE"""),"Sylvia Orthof")</f>
        <v>Sylvia Orthof</v>
      </c>
      <c r="B272" s="93" t="str">
        <f ca="1">IFERROR(__xludf.DUMMYFUNCTION("""COMPUTED_VALUE"""),"Grinaura Pereira Alves")</f>
        <v>Grinaura Pereira Alves</v>
      </c>
      <c r="C272" s="93"/>
      <c r="D272" s="94" t="str">
        <f t="shared" si="2"/>
        <v/>
      </c>
      <c r="E272" s="93"/>
      <c r="F272" s="93"/>
      <c r="G272" s="93"/>
      <c r="H272" s="93"/>
    </row>
    <row r="273" spans="1:8" ht="15">
      <c r="A273" s="93" t="str">
        <f ca="1">IFERROR(__xludf.DUMMYFUNCTION("""COMPUTED_VALUE"""),"Sylvia Orthof")</f>
        <v>Sylvia Orthof</v>
      </c>
      <c r="B273" s="93" t="str">
        <f ca="1">IFERROR(__xludf.DUMMYFUNCTION("""COMPUTED_VALUE"""),"Ana Luiza Dubra Lessa")</f>
        <v>Ana Luiza Dubra Lessa</v>
      </c>
      <c r="C273" s="93"/>
      <c r="D273" s="94" t="str">
        <f t="shared" si="2"/>
        <v/>
      </c>
      <c r="E273" s="93"/>
      <c r="F273" s="93"/>
      <c r="G273" s="93"/>
      <c r="H273" s="93"/>
    </row>
    <row r="274" spans="1:8" ht="15">
      <c r="A274" s="93"/>
      <c r="B274" s="93"/>
      <c r="C274" s="93"/>
      <c r="D274" s="94" t="str">
        <f t="shared" si="2"/>
        <v/>
      </c>
      <c r="E274" s="93"/>
      <c r="F274" s="93"/>
      <c r="G274" s="93"/>
      <c r="H274" s="93"/>
    </row>
    <row r="275" spans="1:8" ht="15">
      <c r="A275" s="93" t="str">
        <f ca="1">IFERROR(__xludf.DUMMYFUNCTION("""COMPUTED_VALUE"""),"Thales Castanho de Andrade")</f>
        <v>Thales Castanho de Andrade</v>
      </c>
      <c r="B275" s="93" t="str">
        <f ca="1">IFERROR(__xludf.DUMMYFUNCTION("""COMPUTED_VALUE"""),"José Carlos Rocha")</f>
        <v>José Carlos Rocha</v>
      </c>
      <c r="C275" s="93"/>
      <c r="D275" s="94" t="str">
        <f t="shared" si="2"/>
        <v/>
      </c>
      <c r="E275" s="93"/>
      <c r="F275" s="93"/>
      <c r="G275" s="93"/>
      <c r="H275" s="93">
        <f ca="1">IFERROR(__xludf.DUMMYFUNCTION("""COMPUTED_VALUE"""),4)</f>
        <v>4</v>
      </c>
    </row>
    <row r="276" spans="1:8" ht="15">
      <c r="A276" s="93" t="str">
        <f ca="1">IFERROR(__xludf.DUMMYFUNCTION("""COMPUTED_VALUE"""),"Thales Castanho de Andrade")</f>
        <v>Thales Castanho de Andrade</v>
      </c>
      <c r="B276" s="93" t="str">
        <f ca="1">IFERROR(__xludf.DUMMYFUNCTION("""COMPUTED_VALUE"""),"Maria Betania Ferreira")</f>
        <v>Maria Betania Ferreira</v>
      </c>
      <c r="C276" s="93">
        <f ca="1">IFERROR(__xludf.DUMMYFUNCTION("""COMPUTED_VALUE"""),1)</f>
        <v>1</v>
      </c>
      <c r="D276" s="94" t="str">
        <f t="shared" ca="1" si="2"/>
        <v>Maria Betania Ferreira</v>
      </c>
      <c r="E276" s="93"/>
      <c r="F276" s="93"/>
      <c r="G276" s="93"/>
      <c r="H276" s="93"/>
    </row>
    <row r="277" spans="1:8" ht="15">
      <c r="A277" s="93" t="str">
        <f ca="1">IFERROR(__xludf.DUMMYFUNCTION("""COMPUTED_VALUE"""),"Thales Castanho de Andrade")</f>
        <v>Thales Castanho de Andrade</v>
      </c>
      <c r="B277" s="93" t="str">
        <f ca="1">IFERROR(__xludf.DUMMYFUNCTION("""COMPUTED_VALUE"""),"Elio Reis Vicente")</f>
        <v>Elio Reis Vicente</v>
      </c>
      <c r="C277" s="93"/>
      <c r="D277" s="94" t="str">
        <f t="shared" si="2"/>
        <v/>
      </c>
      <c r="E277" s="93"/>
      <c r="F277" s="93"/>
      <c r="G277" s="93"/>
      <c r="H277" s="93"/>
    </row>
    <row r="278" spans="1:8" ht="15">
      <c r="A278" s="93" t="str">
        <f ca="1">IFERROR(__xludf.DUMMYFUNCTION("""COMPUTED_VALUE"""),"Thales Castanho de Andrade")</f>
        <v>Thales Castanho de Andrade</v>
      </c>
      <c r="B278" s="93" t="str">
        <f ca="1">IFERROR(__xludf.DUMMYFUNCTION("""COMPUTED_VALUE"""),"Iris Margot Puga")</f>
        <v>Iris Margot Puga</v>
      </c>
      <c r="C278" s="93"/>
      <c r="D278" s="94" t="str">
        <f t="shared" si="2"/>
        <v/>
      </c>
      <c r="E278" s="93"/>
      <c r="F278" s="93"/>
      <c r="G278" s="93"/>
      <c r="H278" s="93"/>
    </row>
    <row r="279" spans="1:8" ht="15">
      <c r="A279" s="93"/>
      <c r="B279" s="93"/>
      <c r="C279" s="93"/>
      <c r="D279" s="94" t="str">
        <f t="shared" si="2"/>
        <v/>
      </c>
      <c r="E279" s="93"/>
      <c r="F279" s="93"/>
      <c r="G279" s="93"/>
      <c r="H279" s="93"/>
    </row>
    <row r="280" spans="1:8" ht="15">
      <c r="A280" s="93" t="str">
        <f ca="1">IFERROR(__xludf.DUMMYFUNCTION("""COMPUTED_VALUE"""),"Vicente de Carvalho")</f>
        <v>Vicente de Carvalho</v>
      </c>
      <c r="B280" s="93" t="str">
        <f ca="1">IFERROR(__xludf.DUMMYFUNCTION("""COMPUTED_VALUE"""),"Vilma Aparecida de Paula")</f>
        <v>Vilma Aparecida de Paula</v>
      </c>
      <c r="C280" s="93"/>
      <c r="D280" s="94" t="str">
        <f t="shared" si="2"/>
        <v/>
      </c>
      <c r="E280" s="93"/>
      <c r="F280" s="93"/>
      <c r="G280" s="93"/>
      <c r="H280" s="93">
        <f ca="1">IFERROR(__xludf.DUMMYFUNCTION("""COMPUTED_VALUE"""),5)</f>
        <v>5</v>
      </c>
    </row>
    <row r="281" spans="1:8" ht="15">
      <c r="A281" s="93" t="str">
        <f ca="1">IFERROR(__xludf.DUMMYFUNCTION("""COMPUTED_VALUE"""),"Vicente de Carvalho")</f>
        <v>Vicente de Carvalho</v>
      </c>
      <c r="B281" s="93" t="str">
        <f ca="1">IFERROR(__xludf.DUMMYFUNCTION("""COMPUTED_VALUE"""),"Renato Cesar Di Pietro")</f>
        <v>Renato Cesar Di Pietro</v>
      </c>
      <c r="C281" s="93">
        <f ca="1">IFERROR(__xludf.DUMMYFUNCTION("""COMPUTED_VALUE"""),0)</f>
        <v>0</v>
      </c>
      <c r="D281" s="94" t="str">
        <f t="shared" ca="1" si="2"/>
        <v/>
      </c>
      <c r="E281" s="93"/>
      <c r="F281" s="93"/>
      <c r="G281" s="93"/>
      <c r="H281" s="93"/>
    </row>
    <row r="282" spans="1:8" ht="15">
      <c r="A282" s="93" t="str">
        <f ca="1">IFERROR(__xludf.DUMMYFUNCTION("""COMPUTED_VALUE"""),"Vicente de Carvalho")</f>
        <v>Vicente de Carvalho</v>
      </c>
      <c r="B282" s="93" t="str">
        <f ca="1">IFERROR(__xludf.DUMMYFUNCTION("""COMPUTED_VALUE"""),"Elizabeth dos Santos")</f>
        <v>Elizabeth dos Santos</v>
      </c>
      <c r="C282" s="93"/>
      <c r="D282" s="94" t="str">
        <f t="shared" si="2"/>
        <v/>
      </c>
      <c r="E282" s="93"/>
      <c r="F282" s="93"/>
      <c r="G282" s="93"/>
      <c r="H282" s="93"/>
    </row>
    <row r="283" spans="1:8" ht="15">
      <c r="A283" s="93" t="str">
        <f ca="1">IFERROR(__xludf.DUMMYFUNCTION("""COMPUTED_VALUE"""),"Vicente de Carvalho")</f>
        <v>Vicente de Carvalho</v>
      </c>
      <c r="B283" s="93" t="str">
        <f ca="1">IFERROR(__xludf.DUMMYFUNCTION("""COMPUTED_VALUE"""),"Airton Pinho de Azevedo")</f>
        <v>Airton Pinho de Azevedo</v>
      </c>
      <c r="C283" s="93"/>
      <c r="D283" s="94" t="str">
        <f t="shared" si="2"/>
        <v/>
      </c>
      <c r="E283" s="93"/>
      <c r="F283" s="93"/>
      <c r="G283" s="93"/>
      <c r="H283" s="93"/>
    </row>
    <row r="284" spans="1:8" ht="15">
      <c r="A284" s="93" t="str">
        <f ca="1">IFERROR(__xludf.DUMMYFUNCTION("""COMPUTED_VALUE"""),"Vicente de Carvalho")</f>
        <v>Vicente de Carvalho</v>
      </c>
      <c r="B284" s="93" t="str">
        <f ca="1">IFERROR(__xludf.DUMMYFUNCTION("""COMPUTED_VALUE"""),"Hugo Leonardo Abud²")</f>
        <v>Hugo Leonardo Abud²</v>
      </c>
      <c r="C284" s="93">
        <f ca="1">IFERROR(__xludf.DUMMYFUNCTION("""COMPUTED_VALUE"""),1)</f>
        <v>1</v>
      </c>
      <c r="D284" s="94" t="str">
        <f t="shared" ca="1" si="2"/>
        <v>Hugo Leonardo Abud²</v>
      </c>
      <c r="E284" s="93"/>
      <c r="F284" s="93"/>
      <c r="G284" s="93"/>
      <c r="H284" s="93"/>
    </row>
    <row r="285" spans="1:8" ht="15">
      <c r="A285" s="93"/>
      <c r="B285" s="93"/>
      <c r="C285" s="93"/>
      <c r="D285" s="94" t="str">
        <f t="shared" si="2"/>
        <v/>
      </c>
      <c r="E285" s="93"/>
      <c r="F285" s="93"/>
      <c r="G285" s="93"/>
      <c r="H285" s="93"/>
    </row>
    <row r="286" spans="1:8" ht="15">
      <c r="A286" s="93" t="str">
        <f ca="1">IFERROR(__xludf.DUMMYFUNCTION("""COMPUTED_VALUE"""),"Vicente Paulo Guimarães")</f>
        <v>Vicente Paulo Guimarães</v>
      </c>
      <c r="B286" s="93" t="str">
        <f ca="1">IFERROR(__xludf.DUMMYFUNCTION("""COMPUTED_VALUE"""),"Jair Vespasiano Dantas")</f>
        <v>Jair Vespasiano Dantas</v>
      </c>
      <c r="C286" s="93">
        <f ca="1">IFERROR(__xludf.DUMMYFUNCTION("""COMPUTED_VALUE"""),1)</f>
        <v>1</v>
      </c>
      <c r="D286" s="94" t="str">
        <f t="shared" ca="1" si="2"/>
        <v>Jair Vespasiano Dantas</v>
      </c>
      <c r="E286" s="93"/>
      <c r="F286" s="93"/>
      <c r="G286" s="93"/>
      <c r="H286" s="93">
        <f ca="1">IFERROR(__xludf.DUMMYFUNCTION("""COMPUTED_VALUE"""),6)</f>
        <v>6</v>
      </c>
    </row>
    <row r="287" spans="1:8" ht="15">
      <c r="A287" s="93" t="str">
        <f ca="1">IFERROR(__xludf.DUMMYFUNCTION("""COMPUTED_VALUE"""),"Vicente Paulo Guimarães")</f>
        <v>Vicente Paulo Guimarães</v>
      </c>
      <c r="B287" s="93" t="str">
        <f ca="1">IFERROR(__xludf.DUMMYFUNCTION("""COMPUTED_VALUE"""),"Sueli de Oliveira")</f>
        <v>Sueli de Oliveira</v>
      </c>
      <c r="C287" s="93">
        <f ca="1">IFERROR(__xludf.DUMMYFUNCTION("""COMPUTED_VALUE"""),0)</f>
        <v>0</v>
      </c>
      <c r="D287" s="94" t="str">
        <f t="shared" ca="1" si="2"/>
        <v/>
      </c>
      <c r="E287" s="93"/>
      <c r="F287" s="93"/>
      <c r="G287" s="93"/>
      <c r="H287" s="93"/>
    </row>
    <row r="288" spans="1:8" ht="15">
      <c r="A288" s="93" t="str">
        <f ca="1">IFERROR(__xludf.DUMMYFUNCTION("""COMPUTED_VALUE"""),"Vicente Paulo Guimarães")</f>
        <v>Vicente Paulo Guimarães</v>
      </c>
      <c r="B288" s="93" t="str">
        <f ca="1">IFERROR(__xludf.DUMMYFUNCTION("""COMPUTED_VALUE"""),"Gilneide dos Santos Grillo")</f>
        <v>Gilneide dos Santos Grillo</v>
      </c>
      <c r="C288" s="93">
        <f ca="1">IFERROR(__xludf.DUMMYFUNCTION("""COMPUTED_VALUE"""),0)</f>
        <v>0</v>
      </c>
      <c r="D288" s="94" t="str">
        <f t="shared" ca="1" si="2"/>
        <v/>
      </c>
      <c r="E288" s="93"/>
      <c r="F288" s="93"/>
      <c r="G288" s="93"/>
      <c r="H288" s="93"/>
    </row>
    <row r="289" spans="1:8" ht="15">
      <c r="A289" s="93" t="str">
        <f ca="1">IFERROR(__xludf.DUMMYFUNCTION("""COMPUTED_VALUE"""),"Vicente Paulo Guimarães")</f>
        <v>Vicente Paulo Guimarães</v>
      </c>
      <c r="B289" s="93" t="str">
        <f ca="1">IFERROR(__xludf.DUMMYFUNCTION("""COMPUTED_VALUE"""),"Marcia Regina Gomes da Silva")</f>
        <v>Marcia Regina Gomes da Silva</v>
      </c>
      <c r="C289" s="93">
        <f ca="1">IFERROR(__xludf.DUMMYFUNCTION("""COMPUTED_VALUE"""),0)</f>
        <v>0</v>
      </c>
      <c r="D289" s="94" t="str">
        <f t="shared" ca="1" si="2"/>
        <v/>
      </c>
      <c r="E289" s="93"/>
      <c r="F289" s="93"/>
      <c r="G289" s="93"/>
      <c r="H289" s="93"/>
    </row>
    <row r="290" spans="1:8" ht="15">
      <c r="A290" s="93" t="str">
        <f ca="1">IFERROR(__xludf.DUMMYFUNCTION("""COMPUTED_VALUE"""),"Vicente Paulo Guimarães")</f>
        <v>Vicente Paulo Guimarães</v>
      </c>
      <c r="B290" s="93" t="str">
        <f ca="1">IFERROR(__xludf.DUMMYFUNCTION("""COMPUTED_VALUE"""),"Debora Albino dos Santos Ramos")</f>
        <v>Debora Albino dos Santos Ramos</v>
      </c>
      <c r="C290" s="93">
        <f ca="1">IFERROR(__xludf.DUMMYFUNCTION("""COMPUTED_VALUE"""),0)</f>
        <v>0</v>
      </c>
      <c r="D290" s="94" t="str">
        <f t="shared" ca="1" si="2"/>
        <v/>
      </c>
      <c r="E290" s="93"/>
      <c r="F290" s="93"/>
      <c r="G290" s="93"/>
      <c r="H290" s="93"/>
    </row>
    <row r="291" spans="1:8" ht="15">
      <c r="A291" s="93" t="str">
        <f ca="1">IFERROR(__xludf.DUMMYFUNCTION("""COMPUTED_VALUE"""),"Vicente Paulo Guimarães")</f>
        <v>Vicente Paulo Guimarães</v>
      </c>
      <c r="B291" s="93" t="str">
        <f ca="1">IFERROR(__xludf.DUMMYFUNCTION("""COMPUTED_VALUE"""),"Ezequiel Oliveira da Silva")</f>
        <v>Ezequiel Oliveira da Silva</v>
      </c>
      <c r="C291" s="93"/>
      <c r="D291" s="94" t="str">
        <f t="shared" si="2"/>
        <v/>
      </c>
      <c r="E291" s="93"/>
      <c r="F291" s="93"/>
      <c r="G291" s="93"/>
      <c r="H291" s="93"/>
    </row>
    <row r="292" spans="1:8" ht="15">
      <c r="A292" s="93"/>
      <c r="B292" s="93"/>
      <c r="C292" s="93"/>
      <c r="D292" s="94" t="str">
        <f t="shared" si="2"/>
        <v/>
      </c>
      <c r="E292" s="93"/>
      <c r="F292" s="93"/>
      <c r="G292" s="93"/>
      <c r="H292" s="93"/>
    </row>
    <row r="293" spans="1:8" ht="15">
      <c r="A293" s="93" t="str">
        <f ca="1">IFERROR(__xludf.DUMMYFUNCTION("""COMPUTED_VALUE"""),"Vinícius de Morais")</f>
        <v>Vinícius de Morais</v>
      </c>
      <c r="B293" s="93" t="str">
        <f ca="1">IFERROR(__xludf.DUMMYFUNCTION("""COMPUTED_VALUE"""),"Claudia Rodrigues Lecinio Viana Barreto")</f>
        <v>Claudia Rodrigues Lecinio Viana Barreto</v>
      </c>
      <c r="C293" s="93">
        <f ca="1">IFERROR(__xludf.DUMMYFUNCTION("""COMPUTED_VALUE"""),1)</f>
        <v>1</v>
      </c>
      <c r="D293" s="94" t="str">
        <f t="shared" ca="1" si="2"/>
        <v>Claudia Rodrigues Lecinio Viana Barreto</v>
      </c>
      <c r="E293" s="93"/>
      <c r="F293" s="93"/>
      <c r="G293" s="93"/>
      <c r="H293" s="93">
        <f ca="1">IFERROR(__xludf.DUMMYFUNCTION("""COMPUTED_VALUE"""),6)</f>
        <v>6</v>
      </c>
    </row>
    <row r="294" spans="1:8" ht="15">
      <c r="A294" s="93" t="str">
        <f ca="1">IFERROR(__xludf.DUMMYFUNCTION("""COMPUTED_VALUE"""),"Vinícius de Morais")</f>
        <v>Vinícius de Morais</v>
      </c>
      <c r="B294" s="93" t="str">
        <f ca="1">IFERROR(__xludf.DUMMYFUNCTION("""COMPUTED_VALUE"""),"Maria de Lourdes Ugucione das Chagas")</f>
        <v>Maria de Lourdes Ugucione das Chagas</v>
      </c>
      <c r="C294" s="93"/>
      <c r="D294" s="94" t="str">
        <f t="shared" si="2"/>
        <v/>
      </c>
      <c r="E294" s="93"/>
      <c r="F294" s="93"/>
      <c r="G294" s="93"/>
      <c r="H294" s="93"/>
    </row>
    <row r="295" spans="1:8" ht="15">
      <c r="A295" s="93" t="str">
        <f ca="1">IFERROR(__xludf.DUMMYFUNCTION("""COMPUTED_VALUE"""),"Vinícius de Morais")</f>
        <v>Vinícius de Morais</v>
      </c>
      <c r="B295" s="93" t="str">
        <f ca="1">IFERROR(__xludf.DUMMYFUNCTION("""COMPUTED_VALUE"""),"Maria do Carmo da Cruz")</f>
        <v>Maria do Carmo da Cruz</v>
      </c>
      <c r="C295" s="93"/>
      <c r="D295" s="94" t="str">
        <f t="shared" si="2"/>
        <v/>
      </c>
      <c r="E295" s="93"/>
      <c r="F295" s="93"/>
      <c r="G295" s="93"/>
      <c r="H295" s="93"/>
    </row>
    <row r="296" spans="1:8" ht="15">
      <c r="A296" s="93" t="str">
        <f ca="1">IFERROR(__xludf.DUMMYFUNCTION("""COMPUTED_VALUE"""),"Vinícius de Morais")</f>
        <v>Vinícius de Morais</v>
      </c>
      <c r="B296" s="93" t="str">
        <f ca="1">IFERROR(__xludf.DUMMYFUNCTION("""COMPUTED_VALUE"""),"Márcia Ascensão Batista")</f>
        <v>Márcia Ascensão Batista</v>
      </c>
      <c r="C296" s="93"/>
      <c r="D296" s="94" t="str">
        <f t="shared" si="2"/>
        <v/>
      </c>
      <c r="E296" s="93"/>
      <c r="F296" s="93"/>
      <c r="G296" s="93"/>
      <c r="H296" s="93"/>
    </row>
    <row r="297" spans="1:8" ht="15">
      <c r="A297" s="93" t="str">
        <f ca="1">IFERROR(__xludf.DUMMYFUNCTION("""COMPUTED_VALUE"""),"Vinícius de Morais")</f>
        <v>Vinícius de Morais</v>
      </c>
      <c r="B297" s="93" t="str">
        <f ca="1">IFERROR(__xludf.DUMMYFUNCTION("""COMPUTED_VALUE"""),"Marta Lovato Zizza")</f>
        <v>Marta Lovato Zizza</v>
      </c>
      <c r="C297" s="93"/>
      <c r="D297" s="94" t="str">
        <f t="shared" si="2"/>
        <v/>
      </c>
      <c r="E297" s="93"/>
      <c r="F297" s="93"/>
      <c r="G297" s="93"/>
      <c r="H297" s="93"/>
    </row>
    <row r="298" spans="1:8" ht="15">
      <c r="A298" s="93" t="str">
        <f ca="1">IFERROR(__xludf.DUMMYFUNCTION("""COMPUTED_VALUE"""),"Vinícius de Morais")</f>
        <v>Vinícius de Morais</v>
      </c>
      <c r="B298" s="93" t="str">
        <f ca="1">IFERROR(__xludf.DUMMYFUNCTION("""COMPUTED_VALUE"""),"Silvio Andrade de Oliveira")</f>
        <v>Silvio Andrade de Oliveira</v>
      </c>
      <c r="C298" s="93"/>
      <c r="D298" s="94" t="str">
        <f t="shared" si="2"/>
        <v/>
      </c>
      <c r="E298" s="93"/>
      <c r="F298" s="93"/>
      <c r="G298" s="93"/>
      <c r="H298" s="93"/>
    </row>
    <row r="299" spans="1:8" ht="15">
      <c r="A299" s="93"/>
      <c r="B299" s="93"/>
      <c r="C299" s="93"/>
      <c r="D299" s="94" t="str">
        <f t="shared" si="2"/>
        <v/>
      </c>
      <c r="E299" s="93"/>
      <c r="F299" s="93"/>
      <c r="G299" s="93"/>
      <c r="H299" s="93"/>
    </row>
    <row r="300" spans="1:8" ht="15">
      <c r="A300" s="93" t="str">
        <f ca="1">IFERROR(__xludf.DUMMYFUNCTION("""COMPUTED_VALUE"""),"Viriato Corrêa")</f>
        <v>Viriato Corrêa</v>
      </c>
      <c r="B300" s="93" t="str">
        <f ca="1">IFERROR(__xludf.DUMMYFUNCTION("""COMPUTED_VALUE"""),"Sandra Machado Alves")</f>
        <v>Sandra Machado Alves</v>
      </c>
      <c r="C300" s="93">
        <f ca="1">IFERROR(__xludf.DUMMYFUNCTION("""COMPUTED_VALUE"""),1)</f>
        <v>1</v>
      </c>
      <c r="D300" s="94" t="str">
        <f t="shared" ca="1" si="2"/>
        <v>Sandra Machado Alves</v>
      </c>
      <c r="E300" s="93"/>
      <c r="F300" s="93"/>
      <c r="G300" s="93"/>
      <c r="H300" s="93">
        <f ca="1">IFERROR(__xludf.DUMMYFUNCTION("""COMPUTED_VALUE"""),6)</f>
        <v>6</v>
      </c>
    </row>
    <row r="301" spans="1:8" ht="15">
      <c r="A301" s="93" t="str">
        <f ca="1">IFERROR(__xludf.DUMMYFUNCTION("""COMPUTED_VALUE"""),"Viriato Corrêa")</f>
        <v>Viriato Corrêa</v>
      </c>
      <c r="B301" s="93" t="str">
        <f ca="1">IFERROR(__xludf.DUMMYFUNCTION("""COMPUTED_VALUE"""),"Bruna Carolina Pinto Cavalcante")</f>
        <v>Bruna Carolina Pinto Cavalcante</v>
      </c>
      <c r="C301" s="93">
        <f ca="1">IFERROR(__xludf.DUMMYFUNCTION("""COMPUTED_VALUE"""),0)</f>
        <v>0</v>
      </c>
      <c r="D301" s="94" t="str">
        <f t="shared" ca="1" si="2"/>
        <v/>
      </c>
      <c r="E301" s="93"/>
      <c r="F301" s="93"/>
      <c r="G301" s="93"/>
      <c r="H301" s="93"/>
    </row>
    <row r="302" spans="1:8" ht="15">
      <c r="A302" s="93" t="str">
        <f ca="1">IFERROR(__xludf.DUMMYFUNCTION("""COMPUTED_VALUE"""),"Viriato Corrêa")</f>
        <v>Viriato Corrêa</v>
      </c>
      <c r="B302" s="93" t="str">
        <f ca="1">IFERROR(__xludf.DUMMYFUNCTION("""COMPUTED_VALUE"""),"Claudia Marques da Silva Almeida Gambarino")</f>
        <v>Claudia Marques da Silva Almeida Gambarino</v>
      </c>
      <c r="C302" s="93"/>
      <c r="D302" s="94" t="str">
        <f t="shared" si="2"/>
        <v/>
      </c>
      <c r="E302" s="93"/>
      <c r="F302" s="93"/>
      <c r="G302" s="93"/>
      <c r="H302" s="93"/>
    </row>
    <row r="303" spans="1:8" ht="15">
      <c r="A303" s="93" t="str">
        <f ca="1">IFERROR(__xludf.DUMMYFUNCTION("""COMPUTED_VALUE"""),"Viriato Corrêa")</f>
        <v>Viriato Corrêa</v>
      </c>
      <c r="B303" s="93" t="str">
        <f ca="1">IFERROR(__xludf.DUMMYFUNCTION("""COMPUTED_VALUE"""),"Roselaine Braz Rodrigues")</f>
        <v>Roselaine Braz Rodrigues</v>
      </c>
      <c r="C303" s="93"/>
      <c r="D303" s="94" t="str">
        <f t="shared" si="2"/>
        <v/>
      </c>
      <c r="E303" s="93"/>
      <c r="F303" s="93"/>
      <c r="G303" s="93"/>
      <c r="H303" s="93"/>
    </row>
    <row r="304" spans="1:8" ht="15">
      <c r="A304" s="93" t="str">
        <f ca="1">IFERROR(__xludf.DUMMYFUNCTION("""COMPUTED_VALUE"""),"Viriato Corrêa")</f>
        <v>Viriato Corrêa</v>
      </c>
      <c r="B304" s="93" t="str">
        <f ca="1">IFERROR(__xludf.DUMMYFUNCTION("""COMPUTED_VALUE"""),"Roseli Lima Kindler")</f>
        <v>Roseli Lima Kindler</v>
      </c>
      <c r="C304" s="93"/>
      <c r="D304" s="94" t="str">
        <f t="shared" si="2"/>
        <v/>
      </c>
      <c r="E304" s="93"/>
      <c r="F304" s="93"/>
      <c r="G304" s="93"/>
      <c r="H304" s="93"/>
    </row>
    <row r="305" spans="1:8" ht="15">
      <c r="A305" s="93" t="str">
        <f ca="1">IFERROR(__xludf.DUMMYFUNCTION("""COMPUTED_VALUE"""),"Viriato Corrêa")</f>
        <v>Viriato Corrêa</v>
      </c>
      <c r="B305" s="93" t="str">
        <f ca="1">IFERROR(__xludf.DUMMYFUNCTION("""COMPUTED_VALUE"""),"Irair de Jesus")</f>
        <v>Irair de Jesus</v>
      </c>
      <c r="C305" s="93"/>
      <c r="D305" s="94" t="str">
        <f t="shared" si="2"/>
        <v/>
      </c>
      <c r="E305" s="93"/>
      <c r="F305" s="93"/>
      <c r="G305" s="93"/>
      <c r="H305" s="93"/>
    </row>
    <row r="306" spans="1:8" ht="12.75"/>
    <row r="308" spans="1:8" ht="15.75" customHeight="1">
      <c r="A308" t="str">
        <f>Estrutura!A4</f>
        <v>Núcleo de Extensão - Pontos de Leitura</v>
      </c>
    </row>
    <row r="309" spans="1:8" ht="15.75" customHeight="1">
      <c r="A309" t="str">
        <f>Estrutura!A5</f>
        <v>Núcleo de Extensão - Pontos de Leitura</v>
      </c>
    </row>
    <row r="310" spans="1:8" ht="15.75" customHeight="1">
      <c r="A310" t="str">
        <f>Estrutura!A6</f>
        <v>Núcleo de Extensão - Pontos de Leitura</v>
      </c>
    </row>
    <row r="311" spans="1:8" ht="15.75" customHeight="1">
      <c r="A311" t="str">
        <f>Estrutura!A7</f>
        <v>Núcleo de Extensão - Pontos de Leitura</v>
      </c>
    </row>
    <row r="312" spans="1:8" ht="15.75" customHeight="1">
      <c r="A312" t="str">
        <f>Estrutura!A8</f>
        <v>Núcleo de Extensão em Leitura</v>
      </c>
    </row>
    <row r="313" spans="1:8" ht="15.75" customHeight="1">
      <c r="A313">
        <f>Estrutura!A9</f>
        <v>0</v>
      </c>
    </row>
    <row r="314" spans="1:8" ht="15.75" customHeight="1">
      <c r="A314" t="str">
        <f>Estrutura!A10</f>
        <v>Núcleo de Extensão em Leitura</v>
      </c>
    </row>
    <row r="315" spans="1:8" ht="15.75" customHeight="1">
      <c r="A315" t="str">
        <f>Estrutura!A11</f>
        <v>Núcleo de Extensão - Pontos de Leitura</v>
      </c>
    </row>
    <row r="316" spans="1:8" ht="15.75" customHeight="1">
      <c r="A316" t="str">
        <f>Estrutura!A12</f>
        <v>Núcleo de Extensão - Bosques da Leitura</v>
      </c>
    </row>
    <row r="317" spans="1:8" ht="15.75" customHeight="1">
      <c r="A317">
        <f>Estrutura!A13</f>
        <v>0</v>
      </c>
    </row>
    <row r="318" spans="1:8" ht="15.75" customHeight="1">
      <c r="A318" t="str">
        <f>Estrutura!A14</f>
        <v>Setor de Reencadernação</v>
      </c>
    </row>
    <row r="319" spans="1:8" ht="15.75" customHeight="1">
      <c r="A319" t="str">
        <f>Estrutura!A15</f>
        <v>Setor de Reencadernação</v>
      </c>
    </row>
    <row r="320" spans="1:8" ht="15.75" customHeight="1">
      <c r="A320" t="str">
        <f>Estrutura!A16</f>
        <v>Setor de Reencadernação</v>
      </c>
    </row>
    <row r="321" spans="1:1" ht="15.75" customHeight="1">
      <c r="A321">
        <f>Estrutura!A17</f>
        <v>0</v>
      </c>
    </row>
    <row r="322" spans="1:1" ht="15.75" customHeight="1">
      <c r="A322" t="str">
        <f>Estrutura!A18</f>
        <v>CSMB – Coordenação</v>
      </c>
    </row>
    <row r="323" spans="1:1" ht="15.75" customHeight="1">
      <c r="A323" t="str">
        <f>Estrutura!A19</f>
        <v>CSMB – Coordenação</v>
      </c>
    </row>
    <row r="324" spans="1:1" ht="15.75" customHeight="1">
      <c r="A324" t="str">
        <f>Estrutura!A20</f>
        <v>CSMB – Coordenação</v>
      </c>
    </row>
    <row r="325" spans="1:1" ht="15.75" customHeight="1">
      <c r="A325" t="str">
        <f>Estrutura!A21</f>
        <v>CSMB – Coordenação</v>
      </c>
    </row>
    <row r="326" spans="1:1" ht="15.75" customHeight="1">
      <c r="A326" t="str">
        <f>Estrutura!A22</f>
        <v>CSMB – Coordenação</v>
      </c>
    </row>
    <row r="327" spans="1:1" ht="15.75" customHeight="1">
      <c r="A327" t="str">
        <f>Estrutura!A23</f>
        <v>CSMB – Coordenação</v>
      </c>
    </row>
    <row r="328" spans="1:1" ht="15.75" customHeight="1">
      <c r="A328" t="str">
        <f>Estrutura!A24</f>
        <v>CSMB – Coordenação</v>
      </c>
    </row>
    <row r="329" spans="1:1" ht="15.75" customHeight="1">
      <c r="A329" t="str">
        <f>Estrutura!A25</f>
        <v>CSMB – Coordenação</v>
      </c>
    </row>
    <row r="330" spans="1:1" ht="15.75" customHeight="1">
      <c r="A330" t="str">
        <f>Estrutura!A26</f>
        <v>CSMB – Coordenação</v>
      </c>
    </row>
    <row r="331" spans="1:1" ht="15.75" customHeight="1">
      <c r="A331">
        <f>Estrutura!A27</f>
        <v>0</v>
      </c>
    </row>
    <row r="332" spans="1:1" ht="15.75" customHeight="1">
      <c r="A332" t="str">
        <f>Estrutura!A28</f>
        <v>Supervisão de Bibliotecas</v>
      </c>
    </row>
    <row r="333" spans="1:1" ht="15.75" customHeight="1">
      <c r="A333" t="str">
        <f>Estrutura!A29</f>
        <v>Supervisão de Bibliotecas</v>
      </c>
    </row>
    <row r="334" spans="1:1" ht="15.75" customHeight="1">
      <c r="A334" t="str">
        <f>Estrutura!A30</f>
        <v>Supervisão de Bibliotecas</v>
      </c>
    </row>
    <row r="335" spans="1:1" ht="15.75" customHeight="1">
      <c r="A335" t="str">
        <f>Estrutura!A31</f>
        <v>Núcleos Regionais - Leste/Sul</v>
      </c>
    </row>
    <row r="336" spans="1:1" ht="15.75" customHeight="1">
      <c r="A336" t="str">
        <f>Estrutura!A32</f>
        <v>Núcleos Regionais - Centro/Norte/Oeste</v>
      </c>
    </row>
    <row r="337" spans="1:1" ht="15.75" customHeight="1">
      <c r="A337" t="str">
        <f>Estrutura!A33</f>
        <v>Núcleos Regionais - Centro/Norte/Oeste</v>
      </c>
    </row>
    <row r="338" spans="1:1" ht="15.75" customHeight="1">
      <c r="A338">
        <f>Estrutura!A34</f>
        <v>0</v>
      </c>
    </row>
    <row r="339" spans="1:1" ht="15.75" customHeight="1">
      <c r="A339" t="str">
        <f>Estrutura!A35</f>
        <v>Supervisão de Planejamento - Coordenação</v>
      </c>
    </row>
    <row r="340" spans="1:1" ht="15.75" customHeight="1">
      <c r="A340" t="str">
        <f>Estrutura!A36</f>
        <v>Supervisão de Planejamento - Avaliação e Monitoramento</v>
      </c>
    </row>
    <row r="341" spans="1:1" ht="15.75" customHeight="1">
      <c r="A341" t="str">
        <f>Estrutura!A37</f>
        <v>Supervisão de Planejamento - Avaliação e Monitoramento</v>
      </c>
    </row>
    <row r="342" spans="1:1" ht="15.75" customHeight="1">
      <c r="A342" t="str">
        <f>Estrutura!A38</f>
        <v>Supervisão de Planejamento - Avaliação e Monitoramento</v>
      </c>
    </row>
    <row r="343" spans="1:1" ht="15.75" customHeight="1">
      <c r="A343" t="str">
        <f>Estrutura!A39</f>
        <v>Supervisão de Planejamento - Website</v>
      </c>
    </row>
    <row r="344" spans="1:1" ht="15.75" customHeight="1">
      <c r="A344">
        <f>Estrutura!A40</f>
        <v>0</v>
      </c>
    </row>
    <row r="345" spans="1:1" ht="15.75" customHeight="1">
      <c r="A345" t="str">
        <f>Estrutura!A41</f>
        <v>Assessoria em Tecnologia da Informação</v>
      </c>
    </row>
    <row r="346" spans="1:1" ht="15.75" customHeight="1">
      <c r="A346" t="str">
        <f>Estrutura!A42</f>
        <v>Assessoria em Tecnologia da Informação</v>
      </c>
    </row>
    <row r="347" spans="1:1" ht="15.75" customHeight="1">
      <c r="A347" t="str">
        <f>Estrutura!A43</f>
        <v>Assessoria em Tecnologia da Informação</v>
      </c>
    </row>
    <row r="348" spans="1:1" ht="15.75" customHeight="1">
      <c r="A348">
        <f>Estrutura!A44</f>
        <v>0</v>
      </c>
    </row>
    <row r="349" spans="1:1" ht="15.75" customHeight="1">
      <c r="A349" t="str">
        <f>Estrutura!A45</f>
        <v>SCT – Coordenação</v>
      </c>
    </row>
    <row r="350" spans="1:1" ht="15.75" customHeight="1">
      <c r="A350">
        <f>Estrutura!A46</f>
        <v>0</v>
      </c>
    </row>
    <row r="351" spans="1:1" ht="15.75" customHeight="1">
      <c r="A351" t="str">
        <f>Estrutura!A47</f>
        <v>SCT - Seção de Avaliação Seleção e Aquisição</v>
      </c>
    </row>
    <row r="352" spans="1:1" ht="15.75" customHeight="1">
      <c r="A352">
        <f>Estrutura!A48</f>
        <v>0</v>
      </c>
    </row>
    <row r="353" spans="1:1" ht="15.75" customHeight="1">
      <c r="A353" t="str">
        <f>Estrutura!A49</f>
        <v>SCT - Setor de Expedição</v>
      </c>
    </row>
    <row r="354" spans="1:1" ht="15.75" customHeight="1">
      <c r="A354" t="str">
        <f>Estrutura!A50</f>
        <v>SCT - Setor de Expedição</v>
      </c>
    </row>
    <row r="355" spans="1:1" ht="15.75" customHeight="1">
      <c r="A355" t="str">
        <f>Estrutura!A51</f>
        <v>SCT - Setor de Expedição</v>
      </c>
    </row>
    <row r="356" spans="1:1" ht="15.75" customHeight="1">
      <c r="A356" t="str">
        <f>Estrutura!A52</f>
        <v>SCT - Setor de Expedição</v>
      </c>
    </row>
    <row r="357" spans="1:1" ht="15.75" customHeight="1">
      <c r="A357">
        <f>Estrutura!A53</f>
        <v>0</v>
      </c>
    </row>
    <row r="358" spans="1:1" ht="15.75" customHeight="1">
      <c r="A358" t="str">
        <f>Estrutura!A54</f>
        <v>SCT - Consistência de Dados</v>
      </c>
    </row>
    <row r="359" spans="1:1" ht="15.75" customHeight="1">
      <c r="A359" t="str">
        <f>Estrutura!A55</f>
        <v>SCT - Consistência de Dados</v>
      </c>
    </row>
    <row r="360" spans="1:1" ht="15.75" customHeight="1">
      <c r="A360" t="str">
        <f>Estrutura!A56</f>
        <v>SCT - Consistência de Dados</v>
      </c>
    </row>
    <row r="361" spans="1:1" ht="15.75" customHeight="1">
      <c r="A361" t="str">
        <f>Estrutura!A57</f>
        <v>SCT - Consistência de Dados</v>
      </c>
    </row>
    <row r="362" spans="1:1" ht="15.75" customHeight="1">
      <c r="A362" t="str">
        <f>Estrutura!A58</f>
        <v>SCT - Consistência de Dados</v>
      </c>
    </row>
    <row r="363" spans="1:1" ht="15.75" customHeight="1">
      <c r="A363">
        <f>Estrutura!A59</f>
        <v>0</v>
      </c>
    </row>
    <row r="364" spans="1:1" ht="15.75" customHeight="1">
      <c r="A364" t="str">
        <f>Estrutura!A60</f>
        <v>SCT - Seção de Controle Bibliográfico</v>
      </c>
    </row>
    <row r="365" spans="1:1" ht="15.75" customHeight="1">
      <c r="A365" t="str">
        <f>Estrutura!A61</f>
        <v>SCT - Seção de Controle Bibliográfico</v>
      </c>
    </row>
    <row r="366" spans="1:1" ht="15.75" customHeight="1">
      <c r="A366" t="str">
        <f>Estrutura!A62</f>
        <v>SCT - Seção de Controle Bibliográfico</v>
      </c>
    </row>
    <row r="367" spans="1:1" ht="15.75" customHeight="1">
      <c r="A367">
        <f>Estrutura!A63</f>
        <v>0</v>
      </c>
    </row>
    <row r="368" spans="1:1" ht="15.75" customHeight="1">
      <c r="A368" t="str">
        <f>Estrutura!A64</f>
        <v>SCT - Controle de Vocabulário</v>
      </c>
    </row>
    <row r="369" spans="1:1" ht="15.75" customHeight="1">
      <c r="A369" t="str">
        <f>Estrutura!A65</f>
        <v>SCT - Controle de Vocabulário</v>
      </c>
    </row>
    <row r="370" spans="1:1" ht="15.75" customHeight="1">
      <c r="A370" t="str">
        <f>Estrutura!A66</f>
        <v>SCT - Controle de Vocabulário</v>
      </c>
    </row>
    <row r="371" spans="1:1" ht="15.75" customHeight="1">
      <c r="A371" t="str">
        <f>Estrutura!A67</f>
        <v>SCT - Controle de Vocabulário</v>
      </c>
    </row>
    <row r="372" spans="1:1" ht="15.75" customHeight="1">
      <c r="A372">
        <f>Estrutura!A68</f>
        <v>0</v>
      </c>
    </row>
    <row r="373" spans="1:1" ht="15.75" customHeight="1">
      <c r="A373" t="str">
        <f>Estrutura!A69</f>
        <v>SCT - Doação e Apoio Técnico</v>
      </c>
    </row>
    <row r="374" spans="1:1" ht="15.75" customHeight="1">
      <c r="A374" t="str">
        <f>Estrutura!A70</f>
        <v>SCT - Doação e Apoio Técnico</v>
      </c>
    </row>
    <row r="375" spans="1:1" ht="15.75" customHeight="1">
      <c r="A375">
        <f>Estrutura!A71</f>
        <v>0</v>
      </c>
    </row>
    <row r="376" spans="1:1" ht="15.75" customHeight="1">
      <c r="A376" t="str">
        <f>Estrutura!A72</f>
        <v>Supervisão de Programas e Projetos</v>
      </c>
    </row>
    <row r="377" spans="1:1" ht="15.75" customHeight="1">
      <c r="A377" t="str">
        <f>Estrutura!A73</f>
        <v>Supervisão de Programas e Projetos</v>
      </c>
    </row>
    <row r="378" spans="1:1" ht="15.75" customHeight="1">
      <c r="A378" t="str">
        <f>Estrutura!A74</f>
        <v>Supervisão de Programas e Projetos</v>
      </c>
    </row>
    <row r="379" spans="1:1" ht="15.75" customHeight="1">
      <c r="A379" t="str">
        <f>Estrutura!A75</f>
        <v>Supervisão de Programas e Projetos</v>
      </c>
    </row>
    <row r="380" spans="1:1" ht="15.75" customHeight="1">
      <c r="A380">
        <f>Estrutura!A76</f>
        <v>0</v>
      </c>
    </row>
    <row r="381" spans="1:1" ht="15.75" customHeight="1">
      <c r="A381" t="str">
        <f>Estrutura!A77</f>
        <v>Protocolo (Lapa)**</v>
      </c>
    </row>
    <row r="382" spans="1:1" ht="15.75" customHeight="1">
      <c r="A382">
        <f>Estrutura!A78</f>
        <v>0</v>
      </c>
    </row>
    <row r="383" spans="1:1" ht="15.75" customHeight="1">
      <c r="A383" t="str">
        <f>Estrutura!A79</f>
        <v>Zeladoria*</v>
      </c>
    </row>
    <row r="384" spans="1:1" ht="15.75" customHeight="1">
      <c r="A384" t="str">
        <f>Estrutura!A80</f>
        <v>Zeladoria*</v>
      </c>
    </row>
    <row r="385" spans="1:1" ht="15.75" customHeight="1">
      <c r="A385" t="str">
        <f>Estrutura!A81</f>
        <v>Zeladoria*</v>
      </c>
    </row>
    <row r="386" spans="1:1" ht="15.75" customHeight="1">
      <c r="A386" t="str">
        <f>Estrutura!A82</f>
        <v>Zeladoria*</v>
      </c>
    </row>
    <row r="387" spans="1:1" ht="15.75" customHeight="1">
      <c r="A387" t="str">
        <f>Estrutura!A83</f>
        <v>-</v>
      </c>
    </row>
    <row r="388" spans="1:1" ht="15.75" customHeight="1">
      <c r="A388">
        <f>Estrutura!A84</f>
        <v>0</v>
      </c>
    </row>
    <row r="389" spans="1:1" ht="15.75" customHeight="1">
      <c r="A389">
        <f>Estrutura!A85</f>
        <v>0</v>
      </c>
    </row>
    <row r="390" spans="1:1" ht="15.75" customHeight="1">
      <c r="A390">
        <f>Estrutura!A86</f>
        <v>0</v>
      </c>
    </row>
    <row r="391" spans="1:1" ht="15.75" customHeight="1">
      <c r="A391">
        <f>Estrutura!A87</f>
        <v>0</v>
      </c>
    </row>
    <row r="392" spans="1:1" ht="15.75" customHeight="1">
      <c r="A392">
        <f>Estrutura!A88</f>
        <v>0</v>
      </c>
    </row>
    <row r="393" spans="1:1" ht="15.75" customHeight="1">
      <c r="A393" t="str">
        <f>Estrutura!A89</f>
        <v>TOTAIS</v>
      </c>
    </row>
    <row r="394" spans="1:1" ht="15.75" customHeight="1">
      <c r="A394">
        <f>Estrutura!A90</f>
        <v>0</v>
      </c>
    </row>
    <row r="395" spans="1:1" ht="15.75" customHeight="1">
      <c r="A395">
        <f>Estrutura!A91</f>
        <v>0</v>
      </c>
    </row>
    <row r="396" spans="1:1" ht="15.75" customHeight="1">
      <c r="A396">
        <f>Estrutura!A92</f>
        <v>0</v>
      </c>
    </row>
    <row r="397" spans="1:1" ht="15.75" customHeight="1">
      <c r="A397">
        <f>Estrutura!A93</f>
        <v>0</v>
      </c>
    </row>
    <row r="398" spans="1:1" ht="15.75" customHeight="1">
      <c r="A398">
        <f>Estrutura!A94</f>
        <v>0</v>
      </c>
    </row>
    <row r="399" spans="1:1" ht="15.75" customHeight="1">
      <c r="A399">
        <f>Estrutura!A95</f>
        <v>0</v>
      </c>
    </row>
    <row r="400" spans="1:1" ht="15.75" customHeight="1">
      <c r="A400">
        <f>Estrutura!A96</f>
        <v>0</v>
      </c>
    </row>
    <row r="401" spans="1:1" ht="15.75" customHeight="1">
      <c r="A401">
        <f>Estrutura!A97</f>
        <v>0</v>
      </c>
    </row>
    <row r="402" spans="1:1" ht="15.75" customHeight="1">
      <c r="A402">
        <f>Estrutura!A98</f>
        <v>0</v>
      </c>
    </row>
    <row r="403" spans="1:1" ht="15.75" customHeight="1">
      <c r="A403">
        <f>Estrutura!A99</f>
        <v>0</v>
      </c>
    </row>
    <row r="404" spans="1:1" ht="15.75" customHeight="1">
      <c r="A404">
        <f>Estrutura!A100</f>
        <v>0</v>
      </c>
    </row>
    <row r="405" spans="1:1" ht="15.75" customHeight="1">
      <c r="A405">
        <f>Estrutura!A101</f>
        <v>0</v>
      </c>
    </row>
    <row r="406" spans="1:1" ht="15.75" customHeight="1">
      <c r="A406">
        <f>Estrutura!A102</f>
        <v>0</v>
      </c>
    </row>
    <row r="407" spans="1:1" ht="15.75" customHeight="1">
      <c r="A407">
        <f>Estrutura!A103</f>
        <v>0</v>
      </c>
    </row>
    <row r="408" spans="1:1" ht="15.75" customHeight="1">
      <c r="A408">
        <f>Estrutura!A104</f>
        <v>0</v>
      </c>
    </row>
    <row r="409" spans="1:1" ht="15.75" customHeight="1">
      <c r="A409">
        <f>Estrutura!A105</f>
        <v>0</v>
      </c>
    </row>
    <row r="410" spans="1:1" ht="15.75" customHeight="1">
      <c r="A410">
        <f>Estrutura!A106</f>
        <v>0</v>
      </c>
    </row>
    <row r="411" spans="1:1" ht="15.75" customHeight="1">
      <c r="A411">
        <f>Estrutura!A107</f>
        <v>0</v>
      </c>
    </row>
    <row r="412" spans="1:1" ht="15.75" customHeight="1">
      <c r="A412">
        <f>Estrutura!A108</f>
        <v>0</v>
      </c>
    </row>
  </sheetData>
  <mergeCells count="1">
    <mergeCell ref="E1:F1"/>
  </mergeCells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C6259-A204-43FE-99D1-1086B02A78F5}">
  <sheetPr codeName="Planilha13"/>
  <dimension ref="A1"/>
  <sheetViews>
    <sheetView topLeftCell="A14" workbookViewId="0">
      <selection activeCell="Q25" sqref="Q25"/>
    </sheetView>
  </sheetViews>
  <sheetFormatPr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81132A-079C-4D33-AD1F-65308FA5A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Estrutura</vt:lpstr>
      <vt:lpstr>Geral</vt:lpstr>
      <vt:lpstr>Planilha1</vt:lpstr>
      <vt:lpstr>Biblioteca</vt:lpstr>
      <vt:lpstr>CSMB</vt:lpstr>
      <vt:lpstr>Dados de Rede</vt:lpstr>
      <vt:lpstr>Impressoras</vt:lpstr>
      <vt:lpstr>Canais de Atendimento</vt:lpstr>
      <vt:lpstr>Logistica</vt:lpstr>
      <vt:lpstr>Inventário</vt:lpstr>
      <vt:lpstr>Import CSMB</vt:lpstr>
      <vt:lpstr>Import</vt:lpstr>
      <vt:lpstr>IMPORT - FUNCIO</vt:lpstr>
      <vt:lpstr>ID_BP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Silva dos Santos</dc:creator>
  <cp:keywords/>
  <dc:description/>
  <cp:lastModifiedBy>Leonardo Veloso</cp:lastModifiedBy>
  <cp:revision/>
  <dcterms:created xsi:type="dcterms:W3CDTF">2023-08-14T15:36:40Z</dcterms:created>
  <dcterms:modified xsi:type="dcterms:W3CDTF">2024-02-26T02:10:45Z</dcterms:modified>
  <cp:category/>
  <cp:contentStatus/>
</cp:coreProperties>
</file>